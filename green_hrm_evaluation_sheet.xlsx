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一般社員評価" sheetId="2" state="visible" r:id="rId4"/>
    <sheet name="管理職評価" sheetId="3" state="visible" r:id="rId5"/>
    <sheet name="項目定義" sheetId="4" state="visible" r:id="rId6"/>
    <sheet name="マスタ" sheetId="5" state="visible" r:id="rId7"/>
    <sheet name="ダッシュボード" sheetId="6" state="visible" r:id="rId8"/>
    <sheet name="規程文言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<sst xmlns="http://schemas.openxmlformats.org/spreadsheetml/2006/main" count="335" uniqueCount="275">
  <si>
    <r>
      <rPr>
        <b val="true"/>
        <sz val="16"/>
        <color rgb="FFFFFFFF"/>
        <rFont val="Noto Sans CJK SC"/>
        <family val="2"/>
      </rPr>
      <t xml:space="preserve">グリーン</t>
    </r>
    <r>
      <rPr>
        <b val="true"/>
        <sz val="16"/>
        <color rgb="FFFFFFFF"/>
        <rFont val="Arial"/>
        <family val="0"/>
        <charset val="1"/>
      </rPr>
      <t xml:space="preserve">HRM</t>
    </r>
    <r>
      <rPr>
        <b val="true"/>
        <sz val="16"/>
        <color rgb="FFFFFFFF"/>
        <rFont val="Noto Sans CJK SC"/>
        <family val="2"/>
      </rPr>
      <t xml:space="preserve">連動型 人事評価シート｜使い方</t>
    </r>
  </si>
  <si>
    <t xml:space="preserve">目的</t>
  </si>
  <si>
    <r>
      <rPr>
        <sz val="10"/>
        <color rgb="FF111827"/>
        <rFont val="Noto Sans CJK SC"/>
        <family val="2"/>
      </rPr>
      <t xml:space="preserve">環境貢献・改善提案・サステナビリティ行動を、人事評価・昇給・賞与・昇格判断に連動させるための実務用テンプレートです。提案書「</t>
    </r>
    <r>
      <rPr>
        <sz val="10"/>
        <color rgb="FF111827"/>
        <rFont val="Arial"/>
        <family val="0"/>
        <charset val="1"/>
      </rPr>
      <t xml:space="preserve">Green Value Evaluation System</t>
    </r>
    <r>
      <rPr>
        <sz val="10"/>
        <color rgb="FF111827"/>
        <rFont val="Noto Sans CJK SC"/>
        <family val="2"/>
      </rPr>
      <t xml:space="preserve">」と整合した制度です。</t>
    </r>
  </si>
  <si>
    <t xml:space="preserve">基本設計</t>
  </si>
  <si>
    <r>
      <rPr>
        <sz val="10"/>
        <color rgb="FF111827"/>
        <rFont val="Noto Sans CJK SC"/>
        <family val="2"/>
      </rPr>
      <t xml:space="preserve">導入初年度は「通常評価</t>
    </r>
    <r>
      <rPr>
        <sz val="10"/>
        <color rgb="FF111827"/>
        <rFont val="Arial"/>
        <family val="0"/>
        <charset val="1"/>
      </rPr>
      <t xml:space="preserve">90</t>
    </r>
    <r>
      <rPr>
        <sz val="10"/>
        <color rgb="FF111827"/>
        <rFont val="Noto Sans CJK SC"/>
        <family val="2"/>
      </rPr>
      <t xml:space="preserve">点＋グリーン</t>
    </r>
    <r>
      <rPr>
        <sz val="10"/>
        <color rgb="FF111827"/>
        <rFont val="Arial"/>
        <family val="0"/>
        <charset val="1"/>
      </rPr>
      <t xml:space="preserve">HRM15</t>
    </r>
    <r>
      <rPr>
        <sz val="10"/>
        <color rgb="FF111827"/>
        <rFont val="Noto Sans CJK SC"/>
        <family val="2"/>
      </rPr>
      <t xml:space="preserve">点＝合計</t>
    </r>
    <r>
      <rPr>
        <sz val="10"/>
        <color rgb="FF111827"/>
        <rFont val="Arial"/>
        <family val="0"/>
        <charset val="1"/>
      </rPr>
      <t xml:space="preserve">105</t>
    </r>
    <r>
      <rPr>
        <sz val="10"/>
        <color rgb="FF111827"/>
        <rFont val="Noto Sans CJK SC"/>
        <family val="2"/>
      </rPr>
      <t xml:space="preserve">点」を基本にし、管理職は部門</t>
    </r>
    <r>
      <rPr>
        <sz val="10"/>
        <color rgb="FF111827"/>
        <rFont val="Arial"/>
        <family val="0"/>
        <charset val="1"/>
      </rPr>
      <t xml:space="preserve">KPI</t>
    </r>
    <r>
      <rPr>
        <sz val="10"/>
        <color rgb="FF111827"/>
        <rFont val="Noto Sans CJK SC"/>
        <family val="2"/>
      </rPr>
      <t xml:space="preserve">とグリーンリーダーシップをより重く評価します。提案書</t>
    </r>
    <r>
      <rPr>
        <sz val="10"/>
        <color rgb="FF111827"/>
        <rFont val="Arial"/>
        <family val="0"/>
        <charset val="1"/>
      </rPr>
      <t xml:space="preserve">§4</t>
    </r>
    <r>
      <rPr>
        <sz val="10"/>
        <color rgb="FF111827"/>
        <rFont val="Noto Sans CJK SC"/>
        <family val="2"/>
      </rPr>
      <t xml:space="preserve">の配点モデルに準拠。</t>
    </r>
  </si>
  <si>
    <t xml:space="preserve">入力するシート</t>
  </si>
  <si>
    <t xml:space="preserve">一般社員は「一般社員評価」、管理職は「管理職評価」に入力してください。黄色セルが主な入力欄です。</t>
  </si>
  <si>
    <t xml:space="preserve">自動計算</t>
  </si>
  <si>
    <t xml:space="preserve">総合点、総合評価、グリーン評価、昇給区分、賞与係数、昇格判定、育成コメントは自動計算されます。</t>
  </si>
  <si>
    <t xml:space="preserve">評価の考え方</t>
  </si>
  <si>
    <r>
      <rPr>
        <sz val="10"/>
        <color rgb="FF111827"/>
        <rFont val="Noto Sans CJK SC"/>
        <family val="2"/>
      </rPr>
      <t xml:space="preserve">グリーン</t>
    </r>
    <r>
      <rPr>
        <sz val="10"/>
        <color rgb="FF111827"/>
        <rFont val="Arial"/>
        <family val="0"/>
        <charset val="1"/>
      </rPr>
      <t xml:space="preserve">HRM</t>
    </r>
    <r>
      <rPr>
        <sz val="10"/>
        <color rgb="FF111827"/>
        <rFont val="Noto Sans CJK SC"/>
        <family val="2"/>
      </rPr>
      <t xml:space="preserve">は減点目的ではなく、日常の省エネ・省資源・廃棄物削減・改善提案・環境学習を評価し、行動変容を促進する仕組みです。</t>
    </r>
  </si>
  <si>
    <t xml:space="preserve">注意点</t>
  </si>
  <si>
    <t xml:space="preserve">賃金・賞与・昇格への反映は、就業規則・賃金規程・評価規程との整合性を確認し、導入時は従業員説明と評価者研修を行ってください。</t>
  </si>
  <si>
    <t xml:space="preserve">導入ステップ</t>
  </si>
  <si>
    <t xml:space="preserve">Step 1</t>
  </si>
  <si>
    <t xml:space="preserve">見える化</t>
  </si>
  <si>
    <t xml:space="preserve">電力・紙・廃棄物・改善提案・研修受講を記録する</t>
  </si>
  <si>
    <t xml:space="preserve">Step 2</t>
  </si>
  <si>
    <r>
      <rPr>
        <b val="true"/>
        <sz val="10"/>
        <rFont val="Noto Sans CJK SC"/>
        <family val="2"/>
      </rPr>
      <t xml:space="preserve">評価に</t>
    </r>
    <r>
      <rPr>
        <b val="true"/>
        <sz val="10"/>
        <rFont val="Arial"/>
        <family val="0"/>
        <charset val="1"/>
      </rPr>
      <t xml:space="preserve">15</t>
    </r>
    <r>
      <rPr>
        <b val="true"/>
        <sz val="10"/>
        <rFont val="Noto Sans CJK SC"/>
        <family val="2"/>
      </rPr>
      <t xml:space="preserve">点反映</t>
    </r>
  </si>
  <si>
    <r>
      <rPr>
        <sz val="10"/>
        <rFont val="Noto Sans CJK SC"/>
        <family val="2"/>
      </rPr>
      <t xml:space="preserve">一般社員評価にグリーン</t>
    </r>
    <r>
      <rPr>
        <sz val="10"/>
        <rFont val="Arial"/>
        <family val="0"/>
        <charset val="1"/>
      </rPr>
      <t xml:space="preserve">HRM15</t>
    </r>
    <r>
      <rPr>
        <sz val="10"/>
        <rFont val="Noto Sans CJK SC"/>
        <family val="2"/>
      </rPr>
      <t xml:space="preserve">点を組み込む（各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点</t>
    </r>
    <r>
      <rPr>
        <sz val="10"/>
        <rFont val="Arial"/>
        <family val="0"/>
        <charset val="1"/>
      </rPr>
      <t xml:space="preserve">×5</t>
    </r>
    <r>
      <rPr>
        <sz val="10"/>
        <rFont val="Noto Sans CJK SC"/>
        <family val="2"/>
      </rPr>
      <t xml:space="preserve">項目）</t>
    </r>
  </si>
  <si>
    <t xml:space="preserve">Step 3</t>
  </si>
  <si>
    <t xml:space="preserve">賞与係数に反映</t>
  </si>
  <si>
    <r>
      <rPr>
        <sz val="10"/>
        <rFont val="Noto Sans CJK SC"/>
        <family val="2"/>
      </rPr>
      <t xml:space="preserve">グリーン評価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に応じて賞与係数を</t>
    </r>
    <r>
      <rPr>
        <sz val="10"/>
        <rFont val="Arial"/>
        <family val="0"/>
        <charset val="1"/>
      </rPr>
      <t xml:space="preserve">±5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％で反映する</t>
    </r>
  </si>
  <si>
    <t xml:space="preserve">Step 4</t>
  </si>
  <si>
    <t xml:space="preserve">昇格要件に反映</t>
  </si>
  <si>
    <t xml:space="preserve">主任・係長・課長以上の昇格要件にグリーン行動・改善主導経験を入れる</t>
  </si>
  <si>
    <t xml:space="preserve">提案書との対応</t>
  </si>
  <si>
    <r>
      <rPr>
        <b val="true"/>
        <sz val="10"/>
        <rFont val="Noto Sans CJK SC"/>
        <family val="2"/>
      </rPr>
      <t xml:space="preserve">提案書 </t>
    </r>
    <r>
      <rPr>
        <b val="true"/>
        <sz val="10"/>
        <rFont val="Arial"/>
        <family val="0"/>
        <charset val="1"/>
      </rPr>
      <t xml:space="preserve">§4</t>
    </r>
  </si>
  <si>
    <r>
      <rPr>
        <sz val="10"/>
        <rFont val="Noto Sans CJK SC"/>
        <family val="2"/>
      </rPr>
      <t xml:space="preserve">評価配点モデル → 一般社員評価シートの配点構成（業務</t>
    </r>
    <r>
      <rPr>
        <sz val="10"/>
        <rFont val="Arial"/>
        <family val="0"/>
        <charset val="1"/>
      </rPr>
      <t xml:space="preserve">50+</t>
    </r>
    <r>
      <rPr>
        <sz val="10"/>
        <rFont val="Noto Sans CJK SC"/>
        <family val="2"/>
      </rPr>
      <t xml:space="preserve">行動</t>
    </r>
    <r>
      <rPr>
        <sz val="10"/>
        <rFont val="Arial"/>
        <family val="0"/>
        <charset val="1"/>
      </rPr>
      <t xml:space="preserve">25+</t>
    </r>
    <r>
      <rPr>
        <sz val="10"/>
        <rFont val="Noto Sans CJK SC"/>
        <family val="2"/>
      </rPr>
      <t xml:space="preserve">学習</t>
    </r>
    <r>
      <rPr>
        <sz val="10"/>
        <rFont val="Arial"/>
        <family val="0"/>
        <charset val="1"/>
      </rPr>
      <t xml:space="preserve">10+</t>
    </r>
    <r>
      <rPr>
        <sz val="10"/>
        <rFont val="Noto Sans CJK SC"/>
        <family val="2"/>
      </rPr>
      <t xml:space="preserve">グリーン</t>
    </r>
    <r>
      <rPr>
        <sz val="10"/>
        <rFont val="Arial"/>
        <family val="0"/>
        <charset val="1"/>
      </rPr>
      <t xml:space="preserve">15=105</t>
    </r>
    <r>
      <rPr>
        <sz val="10"/>
        <rFont val="Noto Sans CJK SC"/>
        <family val="2"/>
      </rPr>
      <t xml:space="preserve">点）</t>
    </r>
  </si>
  <si>
    <r>
      <rPr>
        <b val="true"/>
        <sz val="10"/>
        <rFont val="Noto Sans CJK SC"/>
        <family val="2"/>
      </rPr>
      <t xml:space="preserve">提案書 </t>
    </r>
    <r>
      <rPr>
        <b val="true"/>
        <sz val="10"/>
        <rFont val="Arial"/>
        <family val="0"/>
        <charset val="1"/>
      </rPr>
      <t xml:space="preserve">§5</t>
    </r>
  </si>
  <si>
    <r>
      <rPr>
        <sz val="10"/>
        <rFont val="Arial"/>
        <family val="0"/>
        <charset val="1"/>
      </rPr>
      <t xml:space="preserve">BARS</t>
    </r>
    <r>
      <rPr>
        <sz val="10"/>
        <rFont val="Noto Sans CJK SC"/>
        <family val="2"/>
      </rPr>
      <t xml:space="preserve">行動基準 → 項目定義シートの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行動基準（各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点満点</t>
    </r>
    <r>
      <rPr>
        <sz val="10"/>
        <rFont val="Arial"/>
        <family val="0"/>
        <charset val="1"/>
      </rPr>
      <t xml:space="preserve">×5</t>
    </r>
    <r>
      <rPr>
        <sz val="10"/>
        <rFont val="Noto Sans CJK SC"/>
        <family val="2"/>
      </rPr>
      <t xml:space="preserve">項目）</t>
    </r>
  </si>
  <si>
    <r>
      <rPr>
        <b val="true"/>
        <sz val="10"/>
        <rFont val="Noto Sans CJK SC"/>
        <family val="2"/>
      </rPr>
      <t xml:space="preserve">提案書 </t>
    </r>
    <r>
      <rPr>
        <b val="true"/>
        <sz val="10"/>
        <rFont val="Arial"/>
        <family val="0"/>
        <charset val="1"/>
      </rPr>
      <t xml:space="preserve">§7</t>
    </r>
  </si>
  <si>
    <t xml:space="preserve">昇給反映 → マスタシートの昇給区分・グリーン評価補正</t>
  </si>
  <si>
    <r>
      <rPr>
        <b val="true"/>
        <sz val="10"/>
        <rFont val="Noto Sans CJK SC"/>
        <family val="2"/>
      </rPr>
      <t xml:space="preserve">提案書 </t>
    </r>
    <r>
      <rPr>
        <b val="true"/>
        <sz val="10"/>
        <rFont val="Arial"/>
        <family val="0"/>
        <charset val="1"/>
      </rPr>
      <t xml:space="preserve">§8</t>
    </r>
  </si>
  <si>
    <r>
      <rPr>
        <sz val="10"/>
        <rFont val="Noto Sans CJK SC"/>
        <family val="2"/>
      </rPr>
      <t xml:space="preserve">賞与反映 → 推奨賞与係数（基本係数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グリーン係数）の自動計算</t>
    </r>
  </si>
  <si>
    <r>
      <rPr>
        <b val="true"/>
        <sz val="10"/>
        <rFont val="Noto Sans CJK SC"/>
        <family val="2"/>
      </rPr>
      <t xml:space="preserve">提案書 </t>
    </r>
    <r>
      <rPr>
        <b val="true"/>
        <sz val="10"/>
        <rFont val="Arial"/>
        <family val="0"/>
        <charset val="1"/>
      </rPr>
      <t xml:space="preserve">§9</t>
    </r>
  </si>
  <si>
    <t xml:space="preserve">昇格要件 → マスタシートの昇格区分表・昇格判定の自動計算</t>
  </si>
  <si>
    <r>
      <rPr>
        <b val="true"/>
        <sz val="10"/>
        <rFont val="Noto Sans CJK SC"/>
        <family val="2"/>
      </rPr>
      <t xml:space="preserve">提案書 </t>
    </r>
    <r>
      <rPr>
        <b val="true"/>
        <sz val="10"/>
        <rFont val="Arial"/>
        <family val="0"/>
        <charset val="1"/>
      </rPr>
      <t xml:space="preserve">§10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</si>
  <si>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つの評価軸（知識・行動・改善・成果・波及） → グリーン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項目の評価体系</t>
    </r>
  </si>
  <si>
    <r>
      <rPr>
        <b val="true"/>
        <sz val="16"/>
        <color rgb="FFFFFFFF"/>
        <rFont val="Noto Sans CJK SC"/>
        <family val="2"/>
      </rPr>
      <t xml:space="preserve">一般社員評価シート｜通常評価</t>
    </r>
    <r>
      <rPr>
        <b val="true"/>
        <sz val="16"/>
        <color rgb="FFFFFFFF"/>
        <rFont val="Arial"/>
        <family val="0"/>
        <charset val="1"/>
      </rPr>
      <t xml:space="preserve">90</t>
    </r>
    <r>
      <rPr>
        <b val="true"/>
        <sz val="16"/>
        <color rgb="FFFFFFFF"/>
        <rFont val="Noto Sans CJK SC"/>
        <family val="2"/>
      </rPr>
      <t xml:space="preserve">点＋グリーン</t>
    </r>
    <r>
      <rPr>
        <b val="true"/>
        <sz val="16"/>
        <color rgb="FFFFFFFF"/>
        <rFont val="Arial"/>
        <family val="0"/>
        <charset val="1"/>
      </rPr>
      <t xml:space="preserve">HRM15</t>
    </r>
    <r>
      <rPr>
        <b val="true"/>
        <sz val="16"/>
        <color rgb="FFFFFFFF"/>
        <rFont val="Noto Sans CJK SC"/>
        <family val="2"/>
      </rPr>
      <t xml:space="preserve">点</t>
    </r>
  </si>
  <si>
    <r>
      <rPr>
        <sz val="10"/>
        <color rgb="FF111827"/>
        <rFont val="Noto Sans CJK SC"/>
        <family val="2"/>
      </rPr>
      <t xml:space="preserve">黄色セルに入力してください。</t>
    </r>
    <r>
      <rPr>
        <sz val="10"/>
        <color rgb="FF111827"/>
        <rFont val="Arial"/>
        <family val="0"/>
        <charset val="1"/>
      </rPr>
      <t xml:space="preserve">N</t>
    </r>
    <r>
      <rPr>
        <sz val="10"/>
        <color rgb="FF111827"/>
        <rFont val="Noto Sans CJK SC"/>
        <family val="2"/>
      </rPr>
      <t xml:space="preserve">列以降は自動計算です。グリーン評価は省エネ・ペーパーレス・廃棄物削減・改善提案・環境学習の</t>
    </r>
    <r>
      <rPr>
        <sz val="10"/>
        <color rgb="FF111827"/>
        <rFont val="Arial"/>
        <family val="0"/>
        <charset val="1"/>
      </rPr>
      <t xml:space="preserve">5</t>
    </r>
    <r>
      <rPr>
        <sz val="10"/>
        <color rgb="FF111827"/>
        <rFont val="Noto Sans CJK SC"/>
        <family val="2"/>
      </rPr>
      <t xml:space="preserve">項目、各</t>
    </r>
    <r>
      <rPr>
        <sz val="10"/>
        <color rgb="FF111827"/>
        <rFont val="Arial"/>
        <family val="0"/>
        <charset val="1"/>
      </rPr>
      <t xml:space="preserve">3</t>
    </r>
    <r>
      <rPr>
        <sz val="10"/>
        <color rgb="FF111827"/>
        <rFont val="Noto Sans CJK SC"/>
        <family val="2"/>
      </rPr>
      <t xml:space="preserve">点満点（合計</t>
    </r>
    <r>
      <rPr>
        <sz val="10"/>
        <color rgb="FF111827"/>
        <rFont val="Arial"/>
        <family val="0"/>
        <charset val="1"/>
      </rPr>
      <t xml:space="preserve">15</t>
    </r>
    <r>
      <rPr>
        <sz val="10"/>
        <color rgb="FF111827"/>
        <rFont val="Noto Sans CJK SC"/>
        <family val="2"/>
      </rPr>
      <t xml:space="preserve">点）。提案書</t>
    </r>
    <r>
      <rPr>
        <sz val="10"/>
        <color rgb="FF111827"/>
        <rFont val="Arial"/>
        <family val="0"/>
        <charset val="1"/>
      </rPr>
      <t xml:space="preserve">§5</t>
    </r>
    <r>
      <rPr>
        <sz val="10"/>
        <color rgb="FF111827"/>
        <rFont val="Noto Sans CJK SC"/>
        <family val="2"/>
      </rPr>
      <t xml:space="preserve">の</t>
    </r>
    <r>
      <rPr>
        <sz val="10"/>
        <color rgb="FF111827"/>
        <rFont val="Arial"/>
        <family val="0"/>
        <charset val="1"/>
      </rPr>
      <t xml:space="preserve">BARS</t>
    </r>
    <r>
      <rPr>
        <sz val="10"/>
        <color rgb="FF111827"/>
        <rFont val="Noto Sans CJK SC"/>
        <family val="2"/>
      </rPr>
      <t xml:space="preserve">基準に準拠。</t>
    </r>
  </si>
  <si>
    <r>
      <rPr>
        <b val="true"/>
        <sz val="10"/>
        <color rgb="FFFFFFFF"/>
        <rFont val="Noto Sans CJK SC"/>
        <family val="2"/>
      </rPr>
      <t xml:space="preserve">社員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</si>
  <si>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氏名</t>
  </si>
  <si>
    <t xml:space="preserve">部署</t>
  </si>
  <si>
    <t xml:space="preserve">職位</t>
  </si>
  <si>
    <t xml:space="preserve">評価期間</t>
  </si>
  <si>
    <r>
      <rPr>
        <b val="true"/>
        <sz val="10"/>
        <color rgb="FFFFFFFF"/>
        <rFont val="Noto Sans CJK SC"/>
        <family val="2"/>
      </rPr>
      <t xml:space="preserve">業務成果
</t>
    </r>
    <r>
      <rPr>
        <b val="true"/>
        <sz val="10"/>
        <color rgb="FFFFFFFF"/>
        <rFont val="Arial"/>
        <family val="0"/>
        <charset val="1"/>
      </rPr>
      <t xml:space="preserve">50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</si>
  <si>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行動
</t>
    </r>
    <r>
      <rPr>
        <b val="true"/>
        <sz val="10"/>
        <color rgb="FFFFFFFF"/>
        <rFont val="Arial"/>
        <family val="0"/>
        <charset val="1"/>
      </rPr>
      <t xml:space="preserve">25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</si>
  <si>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学習成長
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</si>
  <si>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省エネ
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</si>
  <si>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ペーパーレス
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</si>
  <si>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廃棄物削減
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</si>
  <si>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改善提案
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</si>
  <si>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環境学習
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</si>
  <si>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グリーン合計
</t>
    </r>
    <r>
      <rPr>
        <b val="true"/>
        <sz val="10"/>
        <color rgb="FFFFFFFF"/>
        <rFont val="Arial"/>
        <family val="0"/>
        <charset val="1"/>
      </rPr>
      <t xml:space="preserve">15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</si>
  <si>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総合点
</t>
    </r>
    <r>
      <rPr>
        <b val="true"/>
        <sz val="10"/>
        <color rgb="FFFFFFFF"/>
        <rFont val="Arial"/>
        <family val="0"/>
        <charset val="1"/>
      </rPr>
      <t xml:space="preserve">105</t>
    </r>
    <r>
      <rPr>
        <b val="true"/>
        <sz val="10"/>
        <color rgb="FFFFFFFF"/>
        <rFont val="Noto Sans CJK SC"/>
        <family val="2"/>
      </rPr>
      <t xml:space="preserve">点</t>
    </r>
  </si>
  <si>
    <t xml:space="preserve">総合評価</t>
  </si>
  <si>
    <t xml:space="preserve">グリーン評価</t>
  </si>
  <si>
    <t xml:space="preserve">昇給区分</t>
  </si>
  <si>
    <t xml:space="preserve">基本賞与係数</t>
  </si>
  <si>
    <t xml:space="preserve">グリーン係数</t>
  </si>
  <si>
    <t xml:space="preserve">推奨賞与係数</t>
  </si>
  <si>
    <t xml:space="preserve">昇格判定</t>
  </si>
  <si>
    <t xml:space="preserve">育成コメント</t>
  </si>
  <si>
    <t xml:space="preserve">S001</t>
  </si>
  <si>
    <t xml:space="preserve">山田 太郎</t>
  </si>
  <si>
    <r>
      <rPr>
        <sz val="10"/>
        <rFont val="Noto Sans CJK SC"/>
        <family val="2"/>
      </rPr>
      <t xml:space="preserve">製造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課</t>
    </r>
  </si>
  <si>
    <t xml:space="preserve">一般</t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</si>
  <si>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上期</t>
    </r>
  </si>
  <si>
    <t xml:space="preserve">S002</t>
  </si>
  <si>
    <t xml:space="preserve">佐藤 花子</t>
  </si>
  <si>
    <t xml:space="preserve">営業部</t>
  </si>
  <si>
    <t xml:space="preserve">主任候補</t>
  </si>
  <si>
    <t xml:space="preserve">S003</t>
  </si>
  <si>
    <t xml:space="preserve">鈴木 一郎</t>
  </si>
  <si>
    <t xml:space="preserve">総務部</t>
  </si>
  <si>
    <r>
      <rPr>
        <b val="true"/>
        <sz val="16"/>
        <color rgb="FFFFFFFF"/>
        <rFont val="Noto Sans CJK SC"/>
        <family val="2"/>
      </rPr>
      <t xml:space="preserve">管理職評価シート｜部門</t>
    </r>
    <r>
      <rPr>
        <b val="true"/>
        <sz val="16"/>
        <color rgb="FFFFFFFF"/>
        <rFont val="Arial"/>
        <family val="0"/>
        <charset val="1"/>
      </rPr>
      <t xml:space="preserve">KPI</t>
    </r>
    <r>
      <rPr>
        <b val="true"/>
        <sz val="16"/>
        <color rgb="FFFFFFFF"/>
        <rFont val="Noto Sans CJK SC"/>
        <family val="2"/>
      </rPr>
      <t xml:space="preserve">・グリーンリーダーシップ連動</t>
    </r>
  </si>
  <si>
    <r>
      <rPr>
        <sz val="10"/>
        <color rgb="FF111827"/>
        <rFont val="Noto Sans CJK SC"/>
        <family val="2"/>
      </rPr>
      <t xml:space="preserve">黄色セルに入力してください。管理職は通常業績だけでなく、部門グリーン</t>
    </r>
    <r>
      <rPr>
        <sz val="10"/>
        <color rgb="FF111827"/>
        <rFont val="Arial"/>
        <family val="0"/>
        <charset val="1"/>
      </rPr>
      <t xml:space="preserve">KPI</t>
    </r>
    <r>
      <rPr>
        <sz val="10"/>
        <color rgb="FF111827"/>
        <rFont val="Noto Sans CJK SC"/>
        <family val="2"/>
      </rPr>
      <t xml:space="preserve">と部下を巻き込むリーダーシップを評価します。</t>
    </r>
  </si>
  <si>
    <r>
      <rPr>
        <b val="true"/>
        <sz val="10"/>
        <color rgb="FFFFFFFF"/>
        <rFont val="Noto Sans CJK SC"/>
        <family val="2"/>
      </rPr>
      <t xml:space="preserve">管理職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</si>
  <si>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部門業績
</t>
    </r>
    <r>
      <rPr>
        <b val="true"/>
        <sz val="10"/>
        <color rgb="FFFFFFFF"/>
        <rFont val="Arial"/>
        <family val="0"/>
        <charset val="1"/>
      </rPr>
      <t xml:space="preserve">40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</si>
  <si>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マネジメント
</t>
    </r>
    <r>
      <rPr>
        <b val="true"/>
        <sz val="10"/>
        <color rgb="FFFFFFFF"/>
        <rFont val="Arial"/>
        <family val="0"/>
        <charset val="1"/>
      </rPr>
      <t xml:space="preserve">25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</si>
  <si>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部門グリーン</t>
    </r>
    <r>
      <rPr>
        <b val="true"/>
        <sz val="10"/>
        <color rgb="FFFFFFFF"/>
        <rFont val="Arial"/>
        <family val="0"/>
        <charset val="1"/>
      </rPr>
      <t xml:space="preserve">KPI
25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</si>
  <si>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グリーンリーダーシップ
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</si>
  <si>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総合点
</t>
    </r>
    <r>
      <rPr>
        <b val="true"/>
        <sz val="10"/>
        <color rgb="FFFFFFFF"/>
        <rFont val="Arial"/>
        <family val="0"/>
        <charset val="1"/>
      </rPr>
      <t xml:space="preserve">100</t>
    </r>
    <r>
      <rPr>
        <b val="true"/>
        <sz val="10"/>
        <color rgb="FFFFFFFF"/>
        <rFont val="Noto Sans CJK SC"/>
        <family val="2"/>
      </rPr>
      <t xml:space="preserve">点</t>
    </r>
  </si>
  <si>
    <r>
      <rPr>
        <b val="true"/>
        <sz val="10"/>
        <color rgb="FFFFFFFF"/>
        <rFont val="Noto Sans CJK SC"/>
        <family val="2"/>
      </rPr>
      <t xml:space="preserve">グリーン点
</t>
    </r>
    <r>
      <rPr>
        <b val="true"/>
        <sz val="10"/>
        <color rgb="FFFFFFFF"/>
        <rFont val="Arial"/>
        <family val="0"/>
        <charset val="1"/>
      </rPr>
      <t xml:space="preserve">35</t>
    </r>
    <r>
      <rPr>
        <b val="true"/>
        <sz val="10"/>
        <color rgb="FFFFFFFF"/>
        <rFont val="Noto Sans CJK SC"/>
        <family val="2"/>
      </rPr>
      <t xml:space="preserve">点</t>
    </r>
  </si>
  <si>
    <t xml:space="preserve">M001</t>
  </si>
  <si>
    <t xml:space="preserve">田中 部長</t>
  </si>
  <si>
    <t xml:space="preserve">製造部</t>
  </si>
  <si>
    <t xml:space="preserve">課長</t>
  </si>
  <si>
    <t xml:space="preserve">M002</t>
  </si>
  <si>
    <t xml:space="preserve">高橋 課長</t>
  </si>
  <si>
    <t xml:space="preserve">係長</t>
  </si>
  <si>
    <r>
      <rPr>
        <b val="true"/>
        <sz val="16"/>
        <color rgb="FFFFFFFF"/>
        <rFont val="Noto Sans CJK SC"/>
        <family val="2"/>
      </rPr>
      <t xml:space="preserve">グリーン</t>
    </r>
    <r>
      <rPr>
        <b val="true"/>
        <sz val="16"/>
        <color rgb="FFFFFFFF"/>
        <rFont val="Arial"/>
        <family val="0"/>
        <charset val="1"/>
      </rPr>
      <t xml:space="preserve">HRM</t>
    </r>
    <r>
      <rPr>
        <b val="true"/>
        <sz val="16"/>
        <color rgb="FFFFFFFF"/>
        <rFont val="Noto Sans CJK SC"/>
        <family val="2"/>
      </rPr>
      <t xml:space="preserve">評価項目定義・行動基準</t>
    </r>
  </si>
  <si>
    <t xml:space="preserve">区分</t>
  </si>
  <si>
    <t xml:space="preserve">評価項目</t>
  </si>
  <si>
    <t xml:space="preserve">満点</t>
  </si>
  <si>
    <r>
      <rPr>
        <b val="true"/>
        <sz val="10"/>
        <color rgb="FFFFFFFF"/>
        <rFont val="Arial"/>
        <family val="0"/>
        <charset val="1"/>
      </rPr>
      <t xml:space="preserve">S</t>
    </r>
    <r>
      <rPr>
        <b val="true"/>
        <sz val="10"/>
        <color rgb="FFFFFFFF"/>
        <rFont val="Noto Sans CJK SC"/>
        <family val="2"/>
      </rPr>
      <t xml:space="preserve">：主導・横展開</t>
    </r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</si>
  <si>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：実行・改善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</si>
  <si>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：標準実践</t>
    </r>
  </si>
  <si>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Noto Sans CJK SC"/>
        <family val="2"/>
      </rPr>
      <t xml:space="preserve">：受け身</t>
    </r>
  </si>
  <si>
    <r>
      <rPr>
        <b val="true"/>
        <sz val="10"/>
        <color rgb="FFFFFFFF"/>
        <rFont val="Arial"/>
        <family val="0"/>
        <charset val="1"/>
      </rPr>
      <t xml:space="preserve">D</t>
    </r>
    <r>
      <rPr>
        <b val="true"/>
        <sz val="10"/>
        <color rgb="FFFFFFFF"/>
        <rFont val="Noto Sans CJK SC"/>
        <family val="2"/>
      </rPr>
      <t xml:space="preserve">：未実施・消極的</t>
    </r>
  </si>
  <si>
    <t xml:space="preserve">全社員</t>
  </si>
  <si>
    <t xml:space="preserve">省エネ行動</t>
  </si>
  <si>
    <t xml:space="preserve">自部署の省エネルールを提案し、実行・定着させた</t>
  </si>
  <si>
    <t xml:space="preserve">不要照明・空調・待機電力削減を自主的に実践した</t>
  </si>
  <si>
    <t xml:space="preserve">決められた省エネルールを日常的に守った</t>
  </si>
  <si>
    <t xml:space="preserve">指示があれば実施した</t>
  </si>
  <si>
    <t xml:space="preserve">ルール違反・無関心が目立つ</t>
  </si>
  <si>
    <t xml:space="preserve">ペーパーレス</t>
  </si>
  <si>
    <t xml:space="preserve">会議・申請・共有資料の電子化を主導した</t>
  </si>
  <si>
    <t xml:space="preserve">紙使用量を減らす工夫を提案・実行した</t>
  </si>
  <si>
    <t xml:space="preserve">必要最低限の印刷に抑えた</t>
  </si>
  <si>
    <t xml:space="preserve">紙資料に依存しがちだった</t>
  </si>
  <si>
    <t xml:space="preserve">不要印刷が多く改善が見られない</t>
  </si>
  <si>
    <t xml:space="preserve">廃棄物削減</t>
  </si>
  <si>
    <t xml:space="preserve">廃棄物・不良・資材ロス削減の仕組みを作った</t>
  </si>
  <si>
    <t xml:space="preserve">分別・再利用・梱包材削減を提案・実行した</t>
  </si>
  <si>
    <t xml:space="preserve">廃棄物削減ルールを守った</t>
  </si>
  <si>
    <t xml:space="preserve">指示があれば対応した</t>
  </si>
  <si>
    <t xml:space="preserve">分別・削減への協力が不十分</t>
  </si>
  <si>
    <t xml:space="preserve">改善提案</t>
  </si>
  <si>
    <t xml:space="preserve">環境負荷削減と業務効率化を両立する提案を実行まで導いた</t>
  </si>
  <si>
    <t xml:space="preserve">具体的な改善提案を行い、実行に関与した</t>
  </si>
  <si>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件以上の改善提案を行った</t>
    </r>
  </si>
  <si>
    <t xml:space="preserve">提案は少ないが改善活動には参加した</t>
  </si>
  <si>
    <t xml:space="preserve">改善提案・参加が見られない</t>
  </si>
  <si>
    <t xml:space="preserve">環境学習</t>
  </si>
  <si>
    <t xml:space="preserve">学んだ内容を社内共有し、実践につなげた</t>
  </si>
  <si>
    <t xml:space="preserve">研修受講後に自部署で活用した</t>
  </si>
  <si>
    <t xml:space="preserve">指定研修を受講した</t>
  </si>
  <si>
    <t xml:space="preserve">受講のみで実践が乏しい</t>
  </si>
  <si>
    <t xml:space="preserve">未受講または受講姿勢に課題</t>
  </si>
  <si>
    <t xml:space="preserve">管理職</t>
  </si>
  <si>
    <r>
      <rPr>
        <sz val="10"/>
        <rFont val="Noto Sans CJK SC"/>
        <family val="2"/>
      </rPr>
      <t xml:space="preserve">部門グリーン</t>
    </r>
    <r>
      <rPr>
        <sz val="10"/>
        <rFont val="Arial"/>
        <family val="0"/>
        <charset val="1"/>
      </rPr>
      <t xml:space="preserve">KPI</t>
    </r>
  </si>
  <si>
    <r>
      <rPr>
        <sz val="10"/>
        <rFont val="Noto Sans CJK SC"/>
        <family val="2"/>
      </rPr>
      <t xml:space="preserve">部門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を大幅達成し、コスト削減・品質向上にも波及</t>
    </r>
  </si>
  <si>
    <r>
      <rPr>
        <sz val="10"/>
        <rFont val="Noto Sans CJK SC"/>
        <family val="2"/>
      </rPr>
      <t xml:space="preserve">部門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を達成し、改善活動を継続運用した</t>
    </r>
  </si>
  <si>
    <r>
      <rPr>
        <sz val="10"/>
        <rFont val="Noto Sans CJK SC"/>
        <family val="2"/>
      </rPr>
      <t xml:space="preserve">主要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を概ね達成した</t>
    </r>
  </si>
  <si>
    <t xml:space="preserve">一部未達だが改善計画を実施</t>
  </si>
  <si>
    <t xml:space="preserve">未達かつ改善計画が不十分</t>
  </si>
  <si>
    <t xml:space="preserve">グリーンリーダーシップ</t>
  </si>
  <si>
    <t xml:space="preserve">部下を巻き込み、改善文化を部門に定着させた</t>
  </si>
  <si>
    <t xml:space="preserve">部下の提案を引き出し、改善実行を支援した</t>
  </si>
  <si>
    <t xml:space="preserve">方針説明と最低限の進捗管理を行った</t>
  </si>
  <si>
    <t xml:space="preserve">啓発・支援が不足した</t>
  </si>
  <si>
    <t xml:space="preserve">関心が薄く、部下任せになった</t>
  </si>
  <si>
    <t xml:space="preserve">判定・係数マスタ</t>
  </si>
  <si>
    <t xml:space="preserve">昇給反映</t>
  </si>
  <si>
    <t xml:space="preserve">グリーン賞与係数</t>
  </si>
  <si>
    <t xml:space="preserve">昇格扱い</t>
  </si>
  <si>
    <t xml:space="preserve">S</t>
  </si>
  <si>
    <t xml:space="preserve">標準昇給＋上乗せ</t>
  </si>
  <si>
    <t xml:space="preserve">積極的に昇格候補</t>
  </si>
  <si>
    <t xml:space="preserve">A</t>
  </si>
  <si>
    <t xml:space="preserve">標準より高め</t>
  </si>
  <si>
    <t xml:space="preserve">昇格候補として有力</t>
  </si>
  <si>
    <t xml:space="preserve">B</t>
  </si>
  <si>
    <t xml:space="preserve">標準昇給</t>
  </si>
  <si>
    <t xml:space="preserve">通常</t>
  </si>
  <si>
    <t xml:space="preserve">C</t>
  </si>
  <si>
    <t xml:space="preserve">昇給小または据置</t>
  </si>
  <si>
    <t xml:space="preserve">育成課題あり</t>
  </si>
  <si>
    <t xml:space="preserve">D</t>
  </si>
  <si>
    <t xml:space="preserve">原則据置・改善計画</t>
  </si>
  <si>
    <t xml:space="preserve">昇格候補から除外・改善指導</t>
  </si>
  <si>
    <t xml:space="preserve">昇格区分</t>
  </si>
  <si>
    <t xml:space="preserve">最低総合評価</t>
  </si>
  <si>
    <t xml:space="preserve">最低グリーン評価</t>
  </si>
  <si>
    <t xml:space="preserve">補足要件</t>
  </si>
  <si>
    <t xml:space="preserve">総合評価判定</t>
  </si>
  <si>
    <t xml:space="preserve">点数範囲</t>
  </si>
  <si>
    <t xml:space="preserve">一般社員→主任</t>
  </si>
  <si>
    <r>
      <rPr>
        <sz val="10"/>
        <rFont val="Noto Sans CJK SC"/>
        <family val="2"/>
      </rPr>
      <t xml:space="preserve">改善提案年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件以上、環境研修受講</t>
    </r>
  </si>
  <si>
    <r>
      <rPr>
        <sz val="10"/>
        <rFont val="Arial"/>
        <family val="0"/>
        <charset val="1"/>
      </rPr>
      <t xml:space="preserve">95</t>
    </r>
    <r>
      <rPr>
        <sz val="10"/>
        <rFont val="Noto Sans CJK SC"/>
        <family val="2"/>
      </rPr>
      <t xml:space="preserve">点以上（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点満点）</t>
    </r>
  </si>
  <si>
    <t xml:space="preserve">主任→係長</t>
  </si>
  <si>
    <t xml:space="preserve">チーム内の省資源・改善活動を主導</t>
  </si>
  <si>
    <r>
      <rPr>
        <sz val="10"/>
        <rFont val="Arial"/>
        <family val="0"/>
        <charset val="1"/>
      </rPr>
      <t xml:space="preserve">84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点</t>
    </r>
  </si>
  <si>
    <t xml:space="preserve">係長→課長</t>
  </si>
  <si>
    <r>
      <rPr>
        <sz val="10"/>
        <rFont val="Noto Sans CJK SC"/>
        <family val="2"/>
      </rPr>
      <t xml:space="preserve">部門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達成、部下への啓発・横展開</t>
    </r>
  </si>
  <si>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点</t>
    </r>
  </si>
  <si>
    <t xml:space="preserve">課長→部長</t>
  </si>
  <si>
    <t xml:space="preserve">環境・人材・収益を統合した部門戦略を設計</t>
  </si>
  <si>
    <r>
      <rPr>
        <sz val="10"/>
        <rFont val="Arial"/>
        <family val="0"/>
        <charset val="1"/>
      </rPr>
      <t xml:space="preserve">53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67</t>
    </r>
    <r>
      <rPr>
        <sz val="10"/>
        <rFont val="Noto Sans CJK SC"/>
        <family val="2"/>
      </rPr>
      <t xml:space="preserve">点</t>
    </r>
  </si>
  <si>
    <t xml:space="preserve">役員候補</t>
  </si>
  <si>
    <r>
      <rPr>
        <sz val="10"/>
        <rFont val="Arial"/>
        <family val="0"/>
        <charset val="1"/>
      </rPr>
      <t xml:space="preserve">ESG</t>
    </r>
    <r>
      <rPr>
        <sz val="10"/>
        <rFont val="Noto Sans CJK SC"/>
        <family val="2"/>
      </rPr>
      <t xml:space="preserve">・人的資本・事業戦略を結びつけて説明・実行できる</t>
    </r>
  </si>
  <si>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点以下</t>
    </r>
  </si>
  <si>
    <t xml:space="preserve">一般社員グリーン評価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</si>
  <si>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点満点：</t>
    </r>
    <r>
      <rPr>
        <sz val="10"/>
        <rFont val="Arial"/>
        <family val="0"/>
        <charset val="1"/>
      </rPr>
      <t xml:space="preserve">S=13.5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A=12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B=9.75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C=7.5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D=7.5</t>
    </r>
    <r>
      <rPr>
        <sz val="10"/>
        <rFont val="Noto Sans CJK SC"/>
        <family val="2"/>
      </rPr>
      <t xml:space="preserve">点未満</t>
    </r>
  </si>
  <si>
    <t xml:space="preserve">管理職グリーン評価</t>
  </si>
  <si>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点満点：</t>
    </r>
    <r>
      <rPr>
        <sz val="10"/>
        <rFont val="Arial"/>
        <family val="0"/>
        <charset val="1"/>
      </rPr>
      <t xml:space="preserve">S=32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A=28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B=22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C=16</t>
    </r>
    <r>
      <rPr>
        <sz val="10"/>
        <rFont val="Noto Sans CJK SC"/>
        <family val="2"/>
      </rPr>
      <t xml:space="preserve">点以上、</t>
    </r>
    <r>
      <rPr>
        <sz val="10"/>
        <rFont val="Arial"/>
        <family val="0"/>
        <charset val="1"/>
      </rPr>
      <t xml:space="preserve">D=16</t>
    </r>
    <r>
      <rPr>
        <sz val="10"/>
        <rFont val="Noto Sans CJK SC"/>
        <family val="2"/>
      </rPr>
      <t xml:space="preserve">点未満</t>
    </r>
  </si>
  <si>
    <r>
      <rPr>
        <b val="true"/>
        <sz val="16"/>
        <color rgb="FFFFFFFF"/>
        <rFont val="Noto Sans CJK SC"/>
        <family val="2"/>
      </rPr>
      <t xml:space="preserve">評価ダッシュボード｜グリーン</t>
    </r>
    <r>
      <rPr>
        <b val="true"/>
        <sz val="16"/>
        <color rgb="FFFFFFFF"/>
        <rFont val="Arial"/>
        <family val="0"/>
        <charset val="1"/>
      </rPr>
      <t xml:space="preserve">HRM</t>
    </r>
    <r>
      <rPr>
        <b val="true"/>
        <sz val="16"/>
        <color rgb="FFFFFFFF"/>
        <rFont val="Noto Sans CJK SC"/>
        <family val="2"/>
      </rPr>
      <t xml:space="preserve">連動状況</t>
    </r>
  </si>
  <si>
    <t xml:space="preserve">KPI</t>
  </si>
  <si>
    <t xml:space="preserve">値</t>
  </si>
  <si>
    <t xml:space="preserve">見方</t>
  </si>
  <si>
    <t xml:space="preserve">人数</t>
  </si>
  <si>
    <t xml:space="preserve">評価入力人数</t>
  </si>
  <si>
    <t xml:space="preserve">評価対象者の入力数</t>
  </si>
  <si>
    <t xml:space="preserve">平均総合点</t>
  </si>
  <si>
    <t xml:space="preserve">総合評価の平均</t>
  </si>
  <si>
    <r>
      <rPr>
        <b val="true"/>
        <sz val="10"/>
        <color rgb="FF064E3B"/>
        <rFont val="Noto Sans CJK SC"/>
        <family val="2"/>
      </rPr>
      <t xml:space="preserve">平均グリーン点（一般</t>
    </r>
    <r>
      <rPr>
        <b val="true"/>
        <sz val="10"/>
        <color rgb="FF064E3B"/>
        <rFont val="Arial"/>
        <family val="0"/>
        <charset val="1"/>
      </rPr>
      <t xml:space="preserve">15</t>
    </r>
    <r>
      <rPr>
        <b val="true"/>
        <sz val="10"/>
        <color rgb="FF064E3B"/>
        <rFont val="Noto Sans CJK SC"/>
        <family val="2"/>
      </rPr>
      <t xml:space="preserve">点換算）</t>
    </r>
  </si>
  <si>
    <r>
      <rPr>
        <sz val="10"/>
        <rFont val="Noto Sans CJK SC"/>
        <family val="2"/>
      </rPr>
      <t xml:space="preserve">一般社員のグリーン評価平均（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点満点）</t>
    </r>
  </si>
  <si>
    <r>
      <rPr>
        <b val="true"/>
        <sz val="10"/>
        <color rgb="FF064E3B"/>
        <rFont val="Noto Sans CJK SC"/>
        <family val="2"/>
      </rPr>
      <t xml:space="preserve">平均グリーン点（管理職</t>
    </r>
    <r>
      <rPr>
        <b val="true"/>
        <sz val="10"/>
        <color rgb="FF064E3B"/>
        <rFont val="Arial"/>
        <family val="0"/>
        <charset val="1"/>
      </rPr>
      <t xml:space="preserve">35</t>
    </r>
    <r>
      <rPr>
        <b val="true"/>
        <sz val="10"/>
        <color rgb="FF064E3B"/>
        <rFont val="Noto Sans CJK SC"/>
        <family val="2"/>
      </rPr>
      <t xml:space="preserve">点換算）</t>
    </r>
  </si>
  <si>
    <r>
      <rPr>
        <sz val="10"/>
        <rFont val="Noto Sans CJK SC"/>
        <family val="2"/>
      </rPr>
      <t xml:space="preserve">管理職の部門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＋リーダーシップ平均</t>
    </r>
  </si>
  <si>
    <r>
      <rPr>
        <b val="true"/>
        <sz val="10"/>
        <color rgb="FF064E3B"/>
        <rFont val="Noto Sans CJK SC"/>
        <family val="2"/>
      </rPr>
      <t xml:space="preserve">グリーン評価</t>
    </r>
    <r>
      <rPr>
        <b val="true"/>
        <sz val="10"/>
        <color rgb="FF064E3B"/>
        <rFont val="Arial"/>
        <family val="0"/>
        <charset val="1"/>
      </rPr>
      <t xml:space="preserve">A</t>
    </r>
    <r>
      <rPr>
        <b val="true"/>
        <sz val="10"/>
        <color rgb="FF064E3B"/>
        <rFont val="Noto Sans CJK SC"/>
        <family val="2"/>
      </rPr>
      <t xml:space="preserve">以上人数</t>
    </r>
  </si>
  <si>
    <t xml:space="preserve">グリーン行動が高い人材数</t>
  </si>
  <si>
    <t xml:space="preserve">昇格候補人数</t>
  </si>
  <si>
    <t xml:space="preserve">次期昇格候補（昇格検討可を含む）</t>
  </si>
  <si>
    <t xml:space="preserve">要育成人数</t>
  </si>
  <si>
    <t xml:space="preserve">改善計画が必要な人数</t>
  </si>
  <si>
    <t xml:space="preserve">運用メモ</t>
  </si>
  <si>
    <t xml:space="preserve">1</t>
  </si>
  <si>
    <r>
      <rPr>
        <sz val="10"/>
        <rFont val="Noto Sans CJK SC"/>
        <family val="2"/>
      </rPr>
      <t xml:space="preserve">初年度は、グリーン</t>
    </r>
    <r>
      <rPr>
        <sz val="10"/>
        <rFont val="Arial"/>
        <family val="0"/>
        <charset val="1"/>
      </rPr>
      <t xml:space="preserve">HRM</t>
    </r>
    <r>
      <rPr>
        <sz val="10"/>
        <rFont val="Noto Sans CJK SC"/>
        <family val="2"/>
      </rPr>
      <t xml:space="preserve">評価を加点中心で運用し、減点運用は慎重にする。</t>
    </r>
  </si>
  <si>
    <t xml:space="preserve">2</t>
  </si>
  <si>
    <t xml:space="preserve">評価者ごとの差を抑えるため、項目定義シートの行動基準を使って評価者研修を行う。</t>
  </si>
  <si>
    <t xml:space="preserve">3</t>
  </si>
  <si>
    <t xml:space="preserve">賞与・昇給・昇格への反映は、就業規則・賃金規程・人事評価規程の整備後に実施する。</t>
  </si>
  <si>
    <t xml:space="preserve">4</t>
  </si>
  <si>
    <r>
      <rPr>
        <sz val="10"/>
        <rFont val="Noto Sans CJK SC"/>
        <family val="2"/>
      </rPr>
      <t xml:space="preserve">次年度以降、紙使用量・電力使用量・廃棄物処理費などの実測値を部門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に追加する。</t>
    </r>
  </si>
  <si>
    <t xml:space="preserve">部門別グリーン評価サマリー</t>
  </si>
  <si>
    <t xml:space="preserve">グリーン平均</t>
  </si>
  <si>
    <t xml:space="preserve">総合平均</t>
  </si>
  <si>
    <t xml:space="preserve">改善提案平均</t>
  </si>
  <si>
    <t xml:space="preserve">昇格候補</t>
  </si>
  <si>
    <t xml:space="preserve">要育成</t>
  </si>
  <si>
    <t xml:space="preserve">推奨アクション</t>
  </si>
  <si>
    <r>
      <rPr>
        <b val="true"/>
        <sz val="10"/>
        <rFont val="Noto Sans CJK SC"/>
        <family val="2"/>
      </rPr>
      <t xml:space="preserve">製造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課</t>
    </r>
  </si>
  <si>
    <r>
      <rPr>
        <b val="true"/>
        <sz val="10"/>
        <rFont val="Noto Sans CJK SC"/>
        <family val="2"/>
      </rPr>
      <t xml:space="preserve">製造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課</t>
    </r>
  </si>
  <si>
    <t xml:space="preserve">管理部</t>
  </si>
  <si>
    <t xml:space="preserve">品質管理部</t>
  </si>
  <si>
    <t xml:space="preserve">開発部</t>
  </si>
  <si>
    <t xml:space="preserve">規程文言・社内説明文サンプル</t>
  </si>
  <si>
    <t xml:space="preserve">文言サンプル</t>
  </si>
  <si>
    <t xml:space="preserve">用途</t>
  </si>
  <si>
    <t xml:space="preserve">備考</t>
  </si>
  <si>
    <t xml:space="preserve">目的条項</t>
  </si>
  <si>
    <t xml:space="preserve">会社は、持続可能な経営の実現を目的として、環境負荷の低減、資源の有効活用、業務改善、地域社会への貢献等に関する行動および成果を、人事評価の一部として評価する。</t>
  </si>
  <si>
    <t xml:space="preserve">評価規程</t>
  </si>
  <si>
    <t xml:space="preserve">導入趣旨を明確化</t>
  </si>
  <si>
    <t xml:space="preserve">評価対象</t>
  </si>
  <si>
    <r>
      <rPr>
        <sz val="10"/>
        <rFont val="Noto Sans CJK SC"/>
        <family val="2"/>
      </rPr>
      <t xml:space="preserve">グリーン</t>
    </r>
    <r>
      <rPr>
        <sz val="10"/>
        <rFont val="Arial"/>
        <family val="0"/>
        <charset val="1"/>
      </rPr>
      <t xml:space="preserve">HRM</t>
    </r>
    <r>
      <rPr>
        <sz val="10"/>
        <rFont val="Noto Sans CJK SC"/>
        <family val="2"/>
      </rPr>
      <t xml:space="preserve">評価は、従業員の日常業務における省エネルギー、省資源、廃棄物削減、ペーパーレス化、環境改善提案、環境教育への参加、ならびに部門目標への貢献度を対象とする。</t>
    </r>
  </si>
  <si>
    <t xml:space="preserve">職位・職務別に詳細化可</t>
  </si>
  <si>
    <t xml:space="preserve">反映方法</t>
  </si>
  <si>
    <t xml:space="preserve">評価結果は、昇給、賞与、昇格、表彰、配置、教育訓練の判断材料として活用する。ただし、評価基準は職務内容、職位、責任範囲に応じて合理的に定めるものとする。</t>
  </si>
  <si>
    <t xml:space="preserve">賃金規程・評価規程</t>
  </si>
  <si>
    <t xml:space="preserve">不利益変更への配慮が必要</t>
  </si>
  <si>
    <t xml:space="preserve">社内説明</t>
  </si>
  <si>
    <t xml:space="preserve">本制度は、環境活動を社員に押し付けるものではなく、日常業務のムダを減らし、改善提案を評価し、会社の持続的成長と社員の成長を両立させるための仕組みです。</t>
  </si>
  <si>
    <t xml:space="preserve">説明会資料</t>
  </si>
  <si>
    <t xml:space="preserve">反発防止に有効</t>
  </si>
  <si>
    <t xml:space="preserve">管理職向け</t>
  </si>
  <si>
    <r>
      <rPr>
        <sz val="10"/>
        <rFont val="Noto Sans CJK SC"/>
        <family val="2"/>
      </rPr>
      <t xml:space="preserve">管理職は、部門の環境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の達成だけでなく、部下の改善提案を引き出し、実行を支援し、グリーン行動が自然に行われる職場文化を形成する責任を負う。</t>
    </r>
  </si>
  <si>
    <t xml:space="preserve">管理職評価</t>
  </si>
  <si>
    <t xml:space="preserve">昇格要件に連動可</t>
  </si>
  <si>
    <t xml:space="preserve">参考情報</t>
  </si>
  <si>
    <t xml:space="preserve">出典</t>
  </si>
  <si>
    <t xml:space="preserve">反映箇所</t>
  </si>
  <si>
    <t xml:space="preserve">提案書</t>
  </si>
  <si>
    <r>
      <rPr>
        <sz val="10"/>
        <rFont val="Arial"/>
        <family val="0"/>
        <charset val="1"/>
      </rPr>
      <t xml:space="preserve">Green Value Evaluation System </t>
    </r>
    <r>
      <rPr>
        <sz val="10"/>
        <rFont val="Noto Sans CJK SC"/>
        <family val="2"/>
      </rPr>
      <t xml:space="preserve">提案書</t>
    </r>
    <r>
      <rPr>
        <sz val="10"/>
        <rFont val="Arial"/>
        <family val="0"/>
        <charset val="1"/>
      </rPr>
      <t xml:space="preserve">.docx</t>
    </r>
  </si>
  <si>
    <r>
      <rPr>
        <sz val="10"/>
        <rFont val="Noto Sans CJK SC"/>
        <family val="2"/>
      </rPr>
      <t xml:space="preserve">全体設計、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層構造、配点、</t>
    </r>
    <r>
      <rPr>
        <sz val="10"/>
        <rFont val="Arial"/>
        <family val="0"/>
        <charset val="1"/>
      </rPr>
      <t xml:space="preserve">BARS</t>
    </r>
    <r>
      <rPr>
        <sz val="10"/>
        <rFont val="Noto Sans CJK SC"/>
        <family val="2"/>
      </rPr>
      <t xml:space="preserve">、賞与・昇格連動</t>
    </r>
  </si>
  <si>
    <t xml:space="preserve">本シートの根拠文書</t>
  </si>
  <si>
    <r>
      <rPr>
        <b val="true"/>
        <sz val="10"/>
        <rFont val="Noto Sans CJK SC"/>
        <family val="2"/>
      </rPr>
      <t xml:space="preserve">調査</t>
    </r>
    <r>
      <rPr>
        <b val="true"/>
        <sz val="10"/>
        <rFont val="Arial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</si>
  <si>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グリーン・サステナブル</t>
    </r>
    <r>
      <rPr>
        <sz val="10"/>
        <rFont val="Arial"/>
        <family val="0"/>
        <charset val="1"/>
      </rPr>
      <t xml:space="preserve">HRM</t>
    </r>
    <r>
      <rPr>
        <sz val="10"/>
        <rFont val="Noto Sans CJK SC"/>
        <family val="2"/>
      </rPr>
      <t xml:space="preserve">と人事評価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</si>
  <si>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定量</t>
    </r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・行動評価・コンピテンシーモデル</t>
    </r>
  </si>
  <si>
    <t xml:space="preserve">学術的根拠</t>
  </si>
  <si>
    <r>
      <rPr>
        <b val="true"/>
        <sz val="10"/>
        <rFont val="Noto Sans CJK SC"/>
        <family val="2"/>
      </rPr>
      <t xml:space="preserve">サントリー</t>
    </r>
    <r>
      <rPr>
        <b val="true"/>
        <sz val="10"/>
        <rFont val="Arial"/>
        <family val="0"/>
        <charset val="1"/>
      </rPr>
      <t xml:space="preserve">HD</t>
    </r>
  </si>
  <si>
    <t xml:space="preserve">suntory.co.jp (2026/01/15)</t>
  </si>
  <si>
    <t xml:space="preserve">全社員賞与へのサステナビリティ項目連動</t>
  </si>
  <si>
    <t xml:space="preserve">国内飲料業界初</t>
  </si>
  <si>
    <t xml:space="preserve">花王</t>
  </si>
  <si>
    <r>
      <rPr>
        <sz val="10"/>
        <rFont val="Noto Sans CJK SC"/>
        <family val="2"/>
      </rPr>
      <t xml:space="preserve">日経ビジネス </t>
    </r>
    <r>
      <rPr>
        <sz val="10"/>
        <rFont val="Arial"/>
        <family val="0"/>
        <charset val="1"/>
      </rPr>
      <t xml:space="preserve">(2021/01/13)</t>
    </r>
  </si>
  <si>
    <r>
      <rPr>
        <sz val="10"/>
        <rFont val="Noto Sans CJK SC"/>
        <family val="2"/>
      </rPr>
      <t xml:space="preserve">個人目標の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割を</t>
    </r>
    <r>
      <rPr>
        <sz val="10"/>
        <rFont val="Arial"/>
        <family val="0"/>
        <charset val="1"/>
      </rPr>
      <t xml:space="preserve">ESG</t>
    </r>
    <r>
      <rPr>
        <sz val="10"/>
        <rFont val="Noto Sans CJK SC"/>
        <family val="2"/>
      </rPr>
      <t xml:space="preserve">関連で設定</t>
    </r>
  </si>
  <si>
    <t xml:space="preserve">大企業事例</t>
  </si>
  <si>
    <t xml:space="preserve">Mastercard</t>
  </si>
  <si>
    <t xml:space="preserve">mastercard.com (2022/04)</t>
  </si>
  <si>
    <r>
      <rPr>
        <sz val="10"/>
        <rFont val="Arial"/>
        <family val="0"/>
        <charset val="1"/>
      </rPr>
      <t xml:space="preserve">ESG</t>
    </r>
    <r>
      <rPr>
        <sz val="10"/>
        <rFont val="Noto Sans CJK SC"/>
        <family val="2"/>
      </rPr>
      <t xml:space="preserve">目標と全社員報酬連動</t>
    </r>
    <r>
      <rPr>
        <sz val="10"/>
        <rFont val="Arial"/>
        <family val="0"/>
        <charset val="1"/>
      </rPr>
      <t xml:space="preserve">±10%</t>
    </r>
  </si>
  <si>
    <t xml:space="preserve">グローバル事例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</si>
</sst>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064E3B"/>
      <name val="Noto Sans CJK SC"/>
      <family val="2"/>
    </font>
    <font>
      <sz val="10"/>
      <color rgb="FF111827"/>
      <name val="Noto Sans CJK SC"/>
      <family val="2"/>
    </font>
    <font>
      <sz val="10"/>
      <color rgb="FF111827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64E3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64E3B"/>
        <bgColor rgb="FF333333"/>
      </patternFill>
    </fill>
    <fill>
      <patternFill patternType="solid">
        <fgColor rgb="FFDFF6E6"/>
        <bgColor rgb="FFECFDF5"/>
      </patternFill>
    </fill>
    <fill>
      <patternFill patternType="solid">
        <fgColor rgb="FFECFDF5"/>
        <bgColor rgb="FFDFF6E6"/>
      </patternFill>
    </fill>
    <fill>
      <patternFill patternType="solid">
        <fgColor rgb="FF0F766E"/>
        <bgColor rgb="FF008080"/>
      </patternFill>
    </fill>
    <fill>
      <patternFill patternType="solid">
        <fgColor rgb="FFFFFD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DE7"/>
      <rgbColor rgb="FFDFF6E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4E3B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s">
        <v>14</v>
      </c>
      <c r="B11" s="6" t="s">
        <v>15</v>
      </c>
      <c r="C11" s="7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  <c r="C12" s="7" t="s">
        <v>19</v>
      </c>
    </row>
    <row r="13" customFormat="false" ht="15" hidden="false" customHeight="false" outlineLevel="0" collapsed="false">
      <c r="A13" s="5" t="s">
        <v>20</v>
      </c>
      <c r="B13" s="6" t="s">
        <v>21</v>
      </c>
      <c r="C13" s="7" t="s">
        <v>22</v>
      </c>
    </row>
    <row r="14" customFormat="false" ht="15" hidden="false" customHeight="false" outlineLevel="0" collapsed="false">
      <c r="A14" s="5" t="s">
        <v>23</v>
      </c>
      <c r="B14" s="6" t="s">
        <v>24</v>
      </c>
      <c r="C14" s="7" t="s">
        <v>25</v>
      </c>
    </row>
    <row r="16" customFormat="false" ht="15" hidden="false" customHeight="false" outlineLevel="0" collapsed="false">
      <c r="A16" s="8" t="s">
        <v>26</v>
      </c>
    </row>
    <row r="17" customFormat="false" ht="15" hidden="false" customHeight="false" outlineLevel="0" collapsed="false">
      <c r="A17" s="6" t="s">
        <v>27</v>
      </c>
      <c r="B17" s="7" t="s">
        <v>28</v>
      </c>
    </row>
    <row r="18" customFormat="false" ht="15" hidden="false" customHeight="false" outlineLevel="0" collapsed="false">
      <c r="A18" s="6" t="s">
        <v>29</v>
      </c>
      <c r="B18" s="9" t="s">
        <v>30</v>
      </c>
    </row>
    <row r="19" customFormat="false" ht="15" hidden="false" customHeight="false" outlineLevel="0" collapsed="false">
      <c r="A19" s="6" t="s">
        <v>31</v>
      </c>
      <c r="B19" s="7" t="s">
        <v>32</v>
      </c>
    </row>
    <row r="20" customFormat="false" ht="15" hidden="false" customHeight="false" outlineLevel="0" collapsed="false">
      <c r="A20" s="6" t="s">
        <v>33</v>
      </c>
      <c r="B20" s="7" t="s">
        <v>34</v>
      </c>
    </row>
    <row r="21" customFormat="false" ht="15" hidden="false" customHeight="false" outlineLevel="0" collapsed="false">
      <c r="A21" s="6" t="s">
        <v>35</v>
      </c>
      <c r="B21" s="7" t="s">
        <v>36</v>
      </c>
    </row>
    <row r="22" customFormat="false" ht="15" hidden="false" customHeight="false" outlineLevel="0" collapsed="false">
      <c r="A22" s="6" t="s">
        <v>37</v>
      </c>
      <c r="B22" s="9" t="s">
        <v>38</v>
      </c>
    </row>
  </sheetData>
  <mergeCells count="2">
    <mergeCell ref="A1:H1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9" min="6" style="0" width="10"/>
    <col collapsed="false" customWidth="true" hidden="false" outlineLevel="0" max="11" min="10" style="0" width="12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20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2" min="21" style="0" width="13"/>
    <col collapsed="false" customWidth="true" hidden="false" outlineLevel="0" max="23" min="23" style="0" width="30"/>
  </cols>
  <sheetData>
    <row r="1" customFormat="false" ht="23.85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true" outlineLevel="0" collapsed="false">
      <c r="A2" s="10" t="s">
        <v>40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4" customFormat="false" ht="29.85" hidden="false" customHeight="false" outlineLevel="0" collapsed="false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  <c r="H4" s="11" t="s">
        <v>48</v>
      </c>
      <c r="I4" s="11" t="s">
        <v>49</v>
      </c>
      <c r="J4" s="11" t="s">
        <v>50</v>
      </c>
      <c r="K4" s="11" t="s">
        <v>51</v>
      </c>
      <c r="L4" s="11" t="s">
        <v>52</v>
      </c>
      <c r="M4" s="11" t="s">
        <v>53</v>
      </c>
      <c r="N4" s="11" t="s">
        <v>54</v>
      </c>
      <c r="O4" s="11" t="s">
        <v>55</v>
      </c>
      <c r="P4" s="11" t="s">
        <v>56</v>
      </c>
      <c r="Q4" s="11" t="s">
        <v>57</v>
      </c>
      <c r="R4" s="11" t="s">
        <v>58</v>
      </c>
      <c r="S4" s="11" t="s">
        <v>59</v>
      </c>
      <c r="T4" s="11" t="s">
        <v>60</v>
      </c>
      <c r="U4" s="11" t="s">
        <v>61</v>
      </c>
      <c r="V4" s="11" t="s">
        <v>62</v>
      </c>
      <c r="W4" s="11" t="s">
        <v>63</v>
      </c>
    </row>
    <row r="5" customFormat="false" ht="15" hidden="false" customHeight="false" outlineLevel="0" collapsed="false">
      <c r="A5" s="12" t="s">
        <v>64</v>
      </c>
      <c r="B5" s="13" t="s">
        <v>65</v>
      </c>
      <c r="C5" s="13" t="s">
        <v>66</v>
      </c>
      <c r="D5" s="13" t="s">
        <v>67</v>
      </c>
      <c r="E5" s="12" t="s">
        <v>68</v>
      </c>
      <c r="F5" s="13" t="n">
        <v>42</v>
      </c>
      <c r="G5" s="13" t="n">
        <v>20</v>
      </c>
      <c r="H5" s="13" t="n">
        <v>8</v>
      </c>
      <c r="I5" s="12" t="n">
        <v>3</v>
      </c>
      <c r="J5" s="12" t="n">
        <v>2</v>
      </c>
      <c r="K5" s="12" t="n">
        <v>3</v>
      </c>
      <c r="L5" s="12" t="n">
        <v>2</v>
      </c>
      <c r="M5" s="12" t="n">
        <v>3</v>
      </c>
      <c r="N5" s="14" t="n">
        <f aca="false">IF(A5="","",SUM(I5:M5))</f>
        <v>13</v>
      </c>
      <c r="O5" s="14" t="n">
        <f aca="false">IF(A5="","",SUM(F5:H5,N5))</f>
        <v>83</v>
      </c>
      <c r="P5" s="14" t="str">
        <f aca="false">IF(A5="","",IF(O5&gt;=95,"S",IF(O5&gt;=84,"A",IF(O5&gt;=68,"B",IF(O5&gt;=53,"C","D")))))</f>
        <v>B</v>
      </c>
      <c r="Q5" s="14" t="str">
        <f aca="false">IF(A5="","",IF(N5&gt;=13.5,"S",IF(N5&gt;=12,"A",IF(N5&gt;=9.75,"B",IF(N5&gt;=7.5,"C","D")))))</f>
        <v>A</v>
      </c>
      <c r="R5" s="14" t="str">
        <f aca="false">IF(A5="","",VLOOKUP(P5,マスタ!$A$4:$C$8,2,FALSE()))</f>
        <v>標準昇給</v>
      </c>
      <c r="S5" s="14" t="n">
        <f aca="false">IF(A5="","",VLOOKUP(P5,マスタ!$A$4:$C$8,3,FALSE()))</f>
        <v>1</v>
      </c>
      <c r="T5" s="14" t="n">
        <f aca="false">IF(A5="","",VLOOKUP(Q5,マスタ!$E$4:$G$8,2,FALSE()))</f>
        <v>1.05</v>
      </c>
      <c r="U5" s="14" t="n">
        <f aca="false">IF(A5="","",ROUND(S5*T5,3))</f>
        <v>1.05</v>
      </c>
      <c r="V5" s="14" t="str">
        <f aca="false">IF(A5="","",IF(AND(O5&gt;=84,N5&gt;=12),"昇格候補",IF(AND(O5&gt;=68,N5&gt;=9.75),"昇格検討可",IF(AND(O5&gt;=53,N5&gt;=7.5),"通常","要育成"))))</f>
        <v>昇格検討可</v>
      </c>
      <c r="W5" s="14" t="str">
        <f aca="false">IF(A5="","",IF(N5&lt;7.5,"グリーン行動の改善計画を設定",IF(L5&lt;1.5,"改善提案を月1件以上設定",IF(M5&lt;1.5,"環境研修・社内共有を追加","継続・横展開を検討"))))</f>
        <v>継続・横展開を検討</v>
      </c>
    </row>
    <row r="6" customFormat="false" ht="15" hidden="false" customHeight="false" outlineLevel="0" collapsed="false">
      <c r="A6" s="12" t="s">
        <v>69</v>
      </c>
      <c r="B6" s="13" t="s">
        <v>70</v>
      </c>
      <c r="C6" s="13" t="s">
        <v>71</v>
      </c>
      <c r="D6" s="13" t="s">
        <v>72</v>
      </c>
      <c r="E6" s="12" t="s">
        <v>68</v>
      </c>
      <c r="F6" s="13" t="n">
        <v>46</v>
      </c>
      <c r="G6" s="13" t="n">
        <v>22</v>
      </c>
      <c r="H6" s="13" t="n">
        <v>9</v>
      </c>
      <c r="I6" s="12" t="n">
        <v>3</v>
      </c>
      <c r="J6" s="12" t="n">
        <v>3</v>
      </c>
      <c r="K6" s="12" t="n">
        <v>2</v>
      </c>
      <c r="L6" s="12" t="n">
        <v>3</v>
      </c>
      <c r="M6" s="12" t="n">
        <v>3</v>
      </c>
      <c r="N6" s="14" t="n">
        <f aca="false">IF(A6="","",SUM(I6:M6))</f>
        <v>14</v>
      </c>
      <c r="O6" s="14" t="n">
        <f aca="false">IF(A6="","",SUM(F6:H6,N6))</f>
        <v>91</v>
      </c>
      <c r="P6" s="14" t="str">
        <f aca="false">IF(A6="","",IF(O6&gt;=95,"S",IF(O6&gt;=84,"A",IF(O6&gt;=68,"B",IF(O6&gt;=53,"C","D")))))</f>
        <v>A</v>
      </c>
      <c r="Q6" s="14" t="str">
        <f aca="false">IF(A6="","",IF(N6&gt;=13.5,"S",IF(N6&gt;=12,"A",IF(N6&gt;=9.75,"B",IF(N6&gt;=7.5,"C","D")))))</f>
        <v>S</v>
      </c>
      <c r="R6" s="14" t="str">
        <f aca="false">IF(A6="","",VLOOKUP(P6,マスタ!$A$4:$C$8,2,FALSE()))</f>
        <v>標準より高め</v>
      </c>
      <c r="S6" s="14" t="n">
        <f aca="false">IF(A6="","",VLOOKUP(P6,マスタ!$A$4:$C$8,3,FALSE()))</f>
        <v>1.1</v>
      </c>
      <c r="T6" s="14" t="n">
        <f aca="false">IF(A6="","",VLOOKUP(Q6,マスタ!$E$4:$G$8,2,FALSE()))</f>
        <v>1.1</v>
      </c>
      <c r="U6" s="14" t="n">
        <f aca="false">IF(A6="","",ROUND(S6*T6,3))</f>
        <v>1.21</v>
      </c>
      <c r="V6" s="14" t="str">
        <f aca="false">IF(A6="","",IF(AND(O6&gt;=84,N6&gt;=12),"昇格候補",IF(AND(O6&gt;=68,N6&gt;=9.75),"昇格検討可",IF(AND(O6&gt;=53,N6&gt;=7.5),"通常","要育成"))))</f>
        <v>昇格候補</v>
      </c>
      <c r="W6" s="14" t="str">
        <f aca="false">IF(A6="","",IF(N6&lt;7.5,"グリーン行動の改善計画を設定",IF(L6&lt;1.5,"改善提案を月1件以上設定",IF(M6&lt;1.5,"環境研修・社内共有を追加","継続・横展開を検討"))))</f>
        <v>継続・横展開を検討</v>
      </c>
    </row>
    <row r="7" customFormat="false" ht="15" hidden="false" customHeight="false" outlineLevel="0" collapsed="false">
      <c r="A7" s="12" t="s">
        <v>73</v>
      </c>
      <c r="B7" s="13" t="s">
        <v>74</v>
      </c>
      <c r="C7" s="13" t="s">
        <v>75</v>
      </c>
      <c r="D7" s="13" t="s">
        <v>67</v>
      </c>
      <c r="E7" s="12" t="s">
        <v>68</v>
      </c>
      <c r="F7" s="13" t="n">
        <v>35</v>
      </c>
      <c r="G7" s="13" t="n">
        <v>18</v>
      </c>
      <c r="H7" s="13" t="n">
        <v>7</v>
      </c>
      <c r="I7" s="12" t="n">
        <v>1.5</v>
      </c>
      <c r="J7" s="12" t="n">
        <v>2</v>
      </c>
      <c r="K7" s="12" t="n">
        <v>1.5</v>
      </c>
      <c r="L7" s="12" t="n">
        <v>1</v>
      </c>
      <c r="M7" s="12" t="n">
        <v>1.5</v>
      </c>
      <c r="N7" s="14" t="n">
        <f aca="false">IF(A7="","",SUM(I7:M7))</f>
        <v>7.5</v>
      </c>
      <c r="O7" s="14" t="n">
        <f aca="false">IF(A7="","",SUM(F7:H7,N7))</f>
        <v>67.5</v>
      </c>
      <c r="P7" s="14" t="str">
        <f aca="false">IF(A7="","",IF(O7&gt;=95,"S",IF(O7&gt;=84,"A",IF(O7&gt;=68,"B",IF(O7&gt;=53,"C","D")))))</f>
        <v>C</v>
      </c>
      <c r="Q7" s="14" t="str">
        <f aca="false">IF(A7="","",IF(N7&gt;=13.5,"S",IF(N7&gt;=12,"A",IF(N7&gt;=9.75,"B",IF(N7&gt;=7.5,"C","D")))))</f>
        <v>C</v>
      </c>
      <c r="R7" s="14" t="str">
        <f aca="false">IF(A7="","",VLOOKUP(P7,マスタ!$A$4:$C$8,2,FALSE()))</f>
        <v>昇給小または据置</v>
      </c>
      <c r="S7" s="14" t="n">
        <f aca="false">IF(A7="","",VLOOKUP(P7,マスタ!$A$4:$C$8,3,FALSE()))</f>
        <v>0.9</v>
      </c>
      <c r="T7" s="14" t="n">
        <f aca="false">IF(A7="","",VLOOKUP(Q7,マスタ!$E$4:$G$8,2,FALSE()))</f>
        <v>0.97</v>
      </c>
      <c r="U7" s="14" t="n">
        <f aca="false">IF(A7="","",ROUND(S7*T7,3))</f>
        <v>0.873</v>
      </c>
      <c r="V7" s="14" t="str">
        <f aca="false">IF(A7="","",IF(AND(O7&gt;=84,N7&gt;=12),"昇格候補",IF(AND(O7&gt;=68,N7&gt;=9.75),"昇格検討可",IF(AND(O7&gt;=53,N7&gt;=7.5),"通常","要育成"))))</f>
        <v>通常</v>
      </c>
      <c r="W7" s="14" t="str">
        <f aca="false">IF(A7="","",IF(N7&lt;7.5,"グリーン行動の改善計画を設定",IF(L7&lt;1.5,"改善提案を月1件以上設定",IF(M7&lt;1.5,"環境研修・社内共有を追加","継続・横展開を検討"))))</f>
        <v>改善提案を月1件以上設定</v>
      </c>
    </row>
    <row r="8" customFormat="false" ht="15" hidden="false" customHeight="false" outlineLevel="0" collapsed="false">
      <c r="N8" s="14" t="str">
        <f aca="false">IF(A8="","",SUM(I8:M8))</f>
        <v/>
      </c>
      <c r="O8" s="14" t="str">
        <f aca="false">IF(A8="","",SUM(F8:H8,N8))</f>
        <v/>
      </c>
      <c r="P8" s="14" t="str">
        <f aca="false">IF(A8="","",IF(O8&gt;=95,"S",IF(O8&gt;=84,"A",IF(O8&gt;=68,"B",IF(O8&gt;=53,"C","D")))))</f>
        <v/>
      </c>
      <c r="Q8" s="14" t="str">
        <f aca="false">IF(A8="","",IF(N8&gt;=13.5,"S",IF(N8&gt;=12,"A",IF(N8&gt;=9.75,"B",IF(N8&gt;=7.5,"C","D")))))</f>
        <v/>
      </c>
      <c r="R8" s="14" t="str">
        <f aca="false">IF(A8="","",VLOOKUP(P8,マスタ!$A$4:$C$8,2,FALSE()))</f>
        <v/>
      </c>
      <c r="S8" s="14" t="str">
        <f aca="false">IF(A8="","",VLOOKUP(P8,マスタ!$A$4:$C$8,3,FALSE()))</f>
        <v/>
      </c>
      <c r="T8" s="14" t="str">
        <f aca="false">IF(A8="","",VLOOKUP(Q8,マスタ!$E$4:$G$8,2,FALSE()))</f>
        <v/>
      </c>
      <c r="U8" s="14" t="str">
        <f aca="false">IF(A8="","",ROUND(S8*T8,3))</f>
        <v/>
      </c>
      <c r="V8" s="14" t="str">
        <f aca="false">IF(A8="","",IF(AND(O8&gt;=84,N8&gt;=12),"昇格候補",IF(AND(O8&gt;=68,N8&gt;=9.75),"昇格検討可",IF(AND(O8&gt;=53,N8&gt;=7.5),"通常","要育成"))))</f>
        <v/>
      </c>
      <c r="W8" s="14" t="str">
        <f aca="false">IF(A8="","",IF(N8&lt;7.5,"グリーン行動の改善計画を設定",IF(L8&lt;1.5,"改善提案を月1件以上設定",IF(M8&lt;1.5,"環境研修・社内共有を追加","継続・横展開を検討"))))</f>
        <v/>
      </c>
    </row>
    <row r="9" customFormat="false" ht="15" hidden="false" customHeight="false" outlineLevel="0" collapsed="false">
      <c r="N9" s="14" t="str">
        <f aca="false">IF(A9="","",SUM(I9:M9))</f>
        <v/>
      </c>
      <c r="O9" s="14" t="str">
        <f aca="false">IF(A9="","",SUM(F9:H9,N9))</f>
        <v/>
      </c>
      <c r="P9" s="14" t="str">
        <f aca="false">IF(A9="","",IF(O9&gt;=95,"S",IF(O9&gt;=84,"A",IF(O9&gt;=68,"B",IF(O9&gt;=53,"C","D")))))</f>
        <v/>
      </c>
      <c r="Q9" s="14" t="str">
        <f aca="false">IF(A9="","",IF(N9&gt;=13.5,"S",IF(N9&gt;=12,"A",IF(N9&gt;=9.75,"B",IF(N9&gt;=7.5,"C","D")))))</f>
        <v/>
      </c>
      <c r="R9" s="14" t="str">
        <f aca="false">IF(A9="","",VLOOKUP(P9,マスタ!$A$4:$C$8,2,FALSE()))</f>
        <v/>
      </c>
      <c r="S9" s="14" t="str">
        <f aca="false">IF(A9="","",VLOOKUP(P9,マスタ!$A$4:$C$8,3,FALSE()))</f>
        <v/>
      </c>
      <c r="T9" s="14" t="str">
        <f aca="false">IF(A9="","",VLOOKUP(Q9,マスタ!$E$4:$G$8,2,FALSE()))</f>
        <v/>
      </c>
      <c r="U9" s="14" t="str">
        <f aca="false">IF(A9="","",ROUND(S9*T9,3))</f>
        <v/>
      </c>
      <c r="V9" s="14" t="str">
        <f aca="false">IF(A9="","",IF(AND(O9&gt;=84,N9&gt;=12),"昇格候補",IF(AND(O9&gt;=68,N9&gt;=9.75),"昇格検討可",IF(AND(O9&gt;=53,N9&gt;=7.5),"通常","要育成"))))</f>
        <v/>
      </c>
      <c r="W9" s="14" t="str">
        <f aca="false">IF(A9="","",IF(N9&lt;7.5,"グリーン行動の改善計画を設定",IF(L9&lt;1.5,"改善提案を月1件以上設定",IF(M9&lt;1.5,"環境研修・社内共有を追加","継続・横展開を検討"))))</f>
        <v/>
      </c>
    </row>
    <row r="10" customFormat="false" ht="15" hidden="false" customHeight="false" outlineLevel="0" collapsed="false">
      <c r="N10" s="14" t="str">
        <f aca="false">IF(A10="","",SUM(I10:M10))</f>
        <v/>
      </c>
      <c r="O10" s="14" t="str">
        <f aca="false">IF(A10="","",SUM(F10:H10,N10))</f>
        <v/>
      </c>
      <c r="P10" s="14" t="str">
        <f aca="false">IF(A10="","",IF(O10&gt;=95,"S",IF(O10&gt;=84,"A",IF(O10&gt;=68,"B",IF(O10&gt;=53,"C","D")))))</f>
        <v/>
      </c>
      <c r="Q10" s="14" t="str">
        <f aca="false">IF(A10="","",IF(N10&gt;=13.5,"S",IF(N10&gt;=12,"A",IF(N10&gt;=9.75,"B",IF(N10&gt;=7.5,"C","D")))))</f>
        <v/>
      </c>
      <c r="R10" s="14" t="str">
        <f aca="false">IF(A10="","",VLOOKUP(P10,マスタ!$A$4:$C$8,2,FALSE()))</f>
        <v/>
      </c>
      <c r="S10" s="14" t="str">
        <f aca="false">IF(A10="","",VLOOKUP(P10,マスタ!$A$4:$C$8,3,FALSE()))</f>
        <v/>
      </c>
      <c r="T10" s="14" t="str">
        <f aca="false">IF(A10="","",VLOOKUP(Q10,マスタ!$E$4:$G$8,2,FALSE()))</f>
        <v/>
      </c>
      <c r="U10" s="14" t="str">
        <f aca="false">IF(A10="","",ROUND(S10*T10,3))</f>
        <v/>
      </c>
      <c r="V10" s="14" t="str">
        <f aca="false">IF(A10="","",IF(AND(O10&gt;=84,N10&gt;=12),"昇格候補",IF(AND(O10&gt;=68,N10&gt;=9.75),"昇格検討可",IF(AND(O10&gt;=53,N10&gt;=7.5),"通常","要育成"))))</f>
        <v/>
      </c>
      <c r="W10" s="14" t="str">
        <f aca="false">IF(A10="","",IF(N10&lt;7.5,"グリーン行動の改善計画を設定",IF(L10&lt;1.5,"改善提案を月1件以上設定",IF(M10&lt;1.5,"環境研修・社内共有を追加","継続・横展開を検討"))))</f>
        <v/>
      </c>
    </row>
    <row r="11" customFormat="false" ht="15" hidden="false" customHeight="false" outlineLevel="0" collapsed="false">
      <c r="N11" s="14" t="str">
        <f aca="false">IF(A11="","",SUM(I11:M11))</f>
        <v/>
      </c>
      <c r="O11" s="14" t="str">
        <f aca="false">IF(A11="","",SUM(F11:H11,N11))</f>
        <v/>
      </c>
      <c r="P11" s="14" t="str">
        <f aca="false">IF(A11="","",IF(O11&gt;=95,"S",IF(O11&gt;=84,"A",IF(O11&gt;=68,"B",IF(O11&gt;=53,"C","D")))))</f>
        <v/>
      </c>
      <c r="Q11" s="14" t="str">
        <f aca="false">IF(A11="","",IF(N11&gt;=13.5,"S",IF(N11&gt;=12,"A",IF(N11&gt;=9.75,"B",IF(N11&gt;=7.5,"C","D")))))</f>
        <v/>
      </c>
      <c r="R11" s="14" t="str">
        <f aca="false">IF(A11="","",VLOOKUP(P11,マスタ!$A$4:$C$8,2,FALSE()))</f>
        <v/>
      </c>
      <c r="S11" s="14" t="str">
        <f aca="false">IF(A11="","",VLOOKUP(P11,マスタ!$A$4:$C$8,3,FALSE()))</f>
        <v/>
      </c>
      <c r="T11" s="14" t="str">
        <f aca="false">IF(A11="","",VLOOKUP(Q11,マスタ!$E$4:$G$8,2,FALSE()))</f>
        <v/>
      </c>
      <c r="U11" s="14" t="str">
        <f aca="false">IF(A11="","",ROUND(S11*T11,3))</f>
        <v/>
      </c>
      <c r="V11" s="14" t="str">
        <f aca="false">IF(A11="","",IF(AND(O11&gt;=84,N11&gt;=12),"昇格候補",IF(AND(O11&gt;=68,N11&gt;=9.75),"昇格検討可",IF(AND(O11&gt;=53,N11&gt;=7.5),"通常","要育成"))))</f>
        <v/>
      </c>
      <c r="W11" s="14" t="str">
        <f aca="false">IF(A11="","",IF(N11&lt;7.5,"グリーン行動の改善計画を設定",IF(L11&lt;1.5,"改善提案を月1件以上設定",IF(M11&lt;1.5,"環境研修・社内共有を追加","継続・横展開を検討"))))</f>
        <v/>
      </c>
    </row>
    <row r="12" customFormat="false" ht="15" hidden="false" customHeight="false" outlineLevel="0" collapsed="false">
      <c r="N12" s="14" t="str">
        <f aca="false">IF(A12="","",SUM(I12:M12))</f>
        <v/>
      </c>
      <c r="O12" s="14" t="str">
        <f aca="false">IF(A12="","",SUM(F12:H12,N12))</f>
        <v/>
      </c>
      <c r="P12" s="14" t="str">
        <f aca="false">IF(A12="","",IF(O12&gt;=95,"S",IF(O12&gt;=84,"A",IF(O12&gt;=68,"B",IF(O12&gt;=53,"C","D")))))</f>
        <v/>
      </c>
      <c r="Q12" s="14" t="str">
        <f aca="false">IF(A12="","",IF(N12&gt;=13.5,"S",IF(N12&gt;=12,"A",IF(N12&gt;=9.75,"B",IF(N12&gt;=7.5,"C","D")))))</f>
        <v/>
      </c>
      <c r="R12" s="14" t="str">
        <f aca="false">IF(A12="","",VLOOKUP(P12,マスタ!$A$4:$C$8,2,FALSE()))</f>
        <v/>
      </c>
      <c r="S12" s="14" t="str">
        <f aca="false">IF(A12="","",VLOOKUP(P12,マスタ!$A$4:$C$8,3,FALSE()))</f>
        <v/>
      </c>
      <c r="T12" s="14" t="str">
        <f aca="false">IF(A12="","",VLOOKUP(Q12,マスタ!$E$4:$G$8,2,FALSE()))</f>
        <v/>
      </c>
      <c r="U12" s="14" t="str">
        <f aca="false">IF(A12="","",ROUND(S12*T12,3))</f>
        <v/>
      </c>
      <c r="V12" s="14" t="str">
        <f aca="false">IF(A12="","",IF(AND(O12&gt;=84,N12&gt;=12),"昇格候補",IF(AND(O12&gt;=68,N12&gt;=9.75),"昇格検討可",IF(AND(O12&gt;=53,N12&gt;=7.5),"通常","要育成"))))</f>
        <v/>
      </c>
      <c r="W12" s="14" t="str">
        <f aca="false">IF(A12="","",IF(N12&lt;7.5,"グリーン行動の改善計画を設定",IF(L12&lt;1.5,"改善提案を月1件以上設定",IF(M12&lt;1.5,"環境研修・社内共有を追加","継続・横展開を検討"))))</f>
        <v/>
      </c>
    </row>
    <row r="13" customFormat="false" ht="15" hidden="false" customHeight="false" outlineLevel="0" collapsed="false">
      <c r="N13" s="14" t="str">
        <f aca="false">IF(A13="","",SUM(I13:M13))</f>
        <v/>
      </c>
      <c r="O13" s="14" t="str">
        <f aca="false">IF(A13="","",SUM(F13:H13,N13))</f>
        <v/>
      </c>
      <c r="P13" s="14" t="str">
        <f aca="false">IF(A13="","",IF(O13&gt;=95,"S",IF(O13&gt;=84,"A",IF(O13&gt;=68,"B",IF(O13&gt;=53,"C","D")))))</f>
        <v/>
      </c>
      <c r="Q13" s="14" t="str">
        <f aca="false">IF(A13="","",IF(N13&gt;=13.5,"S",IF(N13&gt;=12,"A",IF(N13&gt;=9.75,"B",IF(N13&gt;=7.5,"C","D")))))</f>
        <v/>
      </c>
      <c r="R13" s="14" t="str">
        <f aca="false">IF(A13="","",VLOOKUP(P13,マスタ!$A$4:$C$8,2,FALSE()))</f>
        <v/>
      </c>
      <c r="S13" s="14" t="str">
        <f aca="false">IF(A13="","",VLOOKUP(P13,マスタ!$A$4:$C$8,3,FALSE()))</f>
        <v/>
      </c>
      <c r="T13" s="14" t="str">
        <f aca="false">IF(A13="","",VLOOKUP(Q13,マスタ!$E$4:$G$8,2,FALSE()))</f>
        <v/>
      </c>
      <c r="U13" s="14" t="str">
        <f aca="false">IF(A13="","",ROUND(S13*T13,3))</f>
        <v/>
      </c>
      <c r="V13" s="14" t="str">
        <f aca="false">IF(A13="","",IF(AND(O13&gt;=84,N13&gt;=12),"昇格候補",IF(AND(O13&gt;=68,N13&gt;=9.75),"昇格検討可",IF(AND(O13&gt;=53,N13&gt;=7.5),"通常","要育成"))))</f>
        <v/>
      </c>
      <c r="W13" s="14" t="str">
        <f aca="false">IF(A13="","",IF(N13&lt;7.5,"グリーン行動の改善計画を設定",IF(L13&lt;1.5,"改善提案を月1件以上設定",IF(M13&lt;1.5,"環境研修・社内共有を追加","継続・横展開を検討"))))</f>
        <v/>
      </c>
    </row>
    <row r="14" customFormat="false" ht="15" hidden="false" customHeight="false" outlineLevel="0" collapsed="false">
      <c r="N14" s="14" t="str">
        <f aca="false">IF(A14="","",SUM(I14:M14))</f>
        <v/>
      </c>
      <c r="O14" s="14" t="str">
        <f aca="false">IF(A14="","",SUM(F14:H14,N14))</f>
        <v/>
      </c>
      <c r="P14" s="14" t="str">
        <f aca="false">IF(A14="","",IF(O14&gt;=95,"S",IF(O14&gt;=84,"A",IF(O14&gt;=68,"B",IF(O14&gt;=53,"C","D")))))</f>
        <v/>
      </c>
      <c r="Q14" s="14" t="str">
        <f aca="false">IF(A14="","",IF(N14&gt;=13.5,"S",IF(N14&gt;=12,"A",IF(N14&gt;=9.75,"B",IF(N14&gt;=7.5,"C","D")))))</f>
        <v/>
      </c>
      <c r="R14" s="14" t="str">
        <f aca="false">IF(A14="","",VLOOKUP(P14,マスタ!$A$4:$C$8,2,FALSE()))</f>
        <v/>
      </c>
      <c r="S14" s="14" t="str">
        <f aca="false">IF(A14="","",VLOOKUP(P14,マスタ!$A$4:$C$8,3,FALSE()))</f>
        <v/>
      </c>
      <c r="T14" s="14" t="str">
        <f aca="false">IF(A14="","",VLOOKUP(Q14,マスタ!$E$4:$G$8,2,FALSE()))</f>
        <v/>
      </c>
      <c r="U14" s="14" t="str">
        <f aca="false">IF(A14="","",ROUND(S14*T14,3))</f>
        <v/>
      </c>
      <c r="V14" s="14" t="str">
        <f aca="false">IF(A14="","",IF(AND(O14&gt;=84,N14&gt;=12),"昇格候補",IF(AND(O14&gt;=68,N14&gt;=9.75),"昇格検討可",IF(AND(O14&gt;=53,N14&gt;=7.5),"通常","要育成"))))</f>
        <v/>
      </c>
      <c r="W14" s="14" t="str">
        <f aca="false">IF(A14="","",IF(N14&lt;7.5,"グリーン行動の改善計画を設定",IF(L14&lt;1.5,"改善提案を月1件以上設定",IF(M14&lt;1.5,"環境研修・社内共有を追加","継続・横展開を検討"))))</f>
        <v/>
      </c>
    </row>
    <row r="15" customFormat="false" ht="15" hidden="false" customHeight="false" outlineLevel="0" collapsed="false">
      <c r="N15" s="14" t="str">
        <f aca="false">IF(A15="","",SUM(I15:M15))</f>
        <v/>
      </c>
      <c r="O15" s="14" t="str">
        <f aca="false">IF(A15="","",SUM(F15:H15,N15))</f>
        <v/>
      </c>
      <c r="P15" s="14" t="str">
        <f aca="false">IF(A15="","",IF(O15&gt;=95,"S",IF(O15&gt;=84,"A",IF(O15&gt;=68,"B",IF(O15&gt;=53,"C","D")))))</f>
        <v/>
      </c>
      <c r="Q15" s="14" t="str">
        <f aca="false">IF(A15="","",IF(N15&gt;=13.5,"S",IF(N15&gt;=12,"A",IF(N15&gt;=9.75,"B",IF(N15&gt;=7.5,"C","D")))))</f>
        <v/>
      </c>
      <c r="R15" s="14" t="str">
        <f aca="false">IF(A15="","",VLOOKUP(P15,マスタ!$A$4:$C$8,2,FALSE()))</f>
        <v/>
      </c>
      <c r="S15" s="14" t="str">
        <f aca="false">IF(A15="","",VLOOKUP(P15,マスタ!$A$4:$C$8,3,FALSE()))</f>
        <v/>
      </c>
      <c r="T15" s="14" t="str">
        <f aca="false">IF(A15="","",VLOOKUP(Q15,マスタ!$E$4:$G$8,2,FALSE()))</f>
        <v/>
      </c>
      <c r="U15" s="14" t="str">
        <f aca="false">IF(A15="","",ROUND(S15*T15,3))</f>
        <v/>
      </c>
      <c r="V15" s="14" t="str">
        <f aca="false">IF(A15="","",IF(AND(O15&gt;=84,N15&gt;=12),"昇格候補",IF(AND(O15&gt;=68,N15&gt;=9.75),"昇格検討可",IF(AND(O15&gt;=53,N15&gt;=7.5),"通常","要育成"))))</f>
        <v/>
      </c>
      <c r="W15" s="14" t="str">
        <f aca="false">IF(A15="","",IF(N15&lt;7.5,"グリーン行動の改善計画を設定",IF(L15&lt;1.5,"改善提案を月1件以上設定",IF(M15&lt;1.5,"環境研修・社内共有を追加","継続・横展開を検討"))))</f>
        <v/>
      </c>
    </row>
    <row r="16" customFormat="false" ht="15" hidden="false" customHeight="false" outlineLevel="0" collapsed="false">
      <c r="N16" s="14" t="str">
        <f aca="false">IF(A16="","",SUM(I16:M16))</f>
        <v/>
      </c>
      <c r="O16" s="14" t="str">
        <f aca="false">IF(A16="","",SUM(F16:H16,N16))</f>
        <v/>
      </c>
      <c r="P16" s="14" t="str">
        <f aca="false">IF(A16="","",IF(O16&gt;=95,"S",IF(O16&gt;=84,"A",IF(O16&gt;=68,"B",IF(O16&gt;=53,"C","D")))))</f>
        <v/>
      </c>
      <c r="Q16" s="14" t="str">
        <f aca="false">IF(A16="","",IF(N16&gt;=13.5,"S",IF(N16&gt;=12,"A",IF(N16&gt;=9.75,"B",IF(N16&gt;=7.5,"C","D")))))</f>
        <v/>
      </c>
      <c r="R16" s="14" t="str">
        <f aca="false">IF(A16="","",VLOOKUP(P16,マスタ!$A$4:$C$8,2,FALSE()))</f>
        <v/>
      </c>
      <c r="S16" s="14" t="str">
        <f aca="false">IF(A16="","",VLOOKUP(P16,マスタ!$A$4:$C$8,3,FALSE()))</f>
        <v/>
      </c>
      <c r="T16" s="14" t="str">
        <f aca="false">IF(A16="","",VLOOKUP(Q16,マスタ!$E$4:$G$8,2,FALSE()))</f>
        <v/>
      </c>
      <c r="U16" s="14" t="str">
        <f aca="false">IF(A16="","",ROUND(S16*T16,3))</f>
        <v/>
      </c>
      <c r="V16" s="14" t="str">
        <f aca="false">IF(A16="","",IF(AND(O16&gt;=84,N16&gt;=12),"昇格候補",IF(AND(O16&gt;=68,N16&gt;=9.75),"昇格検討可",IF(AND(O16&gt;=53,N16&gt;=7.5),"通常","要育成"))))</f>
        <v/>
      </c>
      <c r="W16" s="14" t="str">
        <f aca="false">IF(A16="","",IF(N16&lt;7.5,"グリーン行動の改善計画を設定",IF(L16&lt;1.5,"改善提案を月1件以上設定",IF(M16&lt;1.5,"環境研修・社内共有を追加","継続・横展開を検討"))))</f>
        <v/>
      </c>
    </row>
    <row r="17" customFormat="false" ht="15" hidden="false" customHeight="false" outlineLevel="0" collapsed="false">
      <c r="N17" s="14" t="str">
        <f aca="false">IF(A17="","",SUM(I17:M17))</f>
        <v/>
      </c>
      <c r="O17" s="14" t="str">
        <f aca="false">IF(A17="","",SUM(F17:H17,N17))</f>
        <v/>
      </c>
      <c r="P17" s="14" t="str">
        <f aca="false">IF(A17="","",IF(O17&gt;=95,"S",IF(O17&gt;=84,"A",IF(O17&gt;=68,"B",IF(O17&gt;=53,"C","D")))))</f>
        <v/>
      </c>
      <c r="Q17" s="14" t="str">
        <f aca="false">IF(A17="","",IF(N17&gt;=13.5,"S",IF(N17&gt;=12,"A",IF(N17&gt;=9.75,"B",IF(N17&gt;=7.5,"C","D")))))</f>
        <v/>
      </c>
      <c r="R17" s="14" t="str">
        <f aca="false">IF(A17="","",VLOOKUP(P17,マスタ!$A$4:$C$8,2,FALSE()))</f>
        <v/>
      </c>
      <c r="S17" s="14" t="str">
        <f aca="false">IF(A17="","",VLOOKUP(P17,マスタ!$A$4:$C$8,3,FALSE()))</f>
        <v/>
      </c>
      <c r="T17" s="14" t="str">
        <f aca="false">IF(A17="","",VLOOKUP(Q17,マスタ!$E$4:$G$8,2,FALSE()))</f>
        <v/>
      </c>
      <c r="U17" s="14" t="str">
        <f aca="false">IF(A17="","",ROUND(S17*T17,3))</f>
        <v/>
      </c>
      <c r="V17" s="14" t="str">
        <f aca="false">IF(A17="","",IF(AND(O17&gt;=84,N17&gt;=12),"昇格候補",IF(AND(O17&gt;=68,N17&gt;=9.75),"昇格検討可",IF(AND(O17&gt;=53,N17&gt;=7.5),"通常","要育成"))))</f>
        <v/>
      </c>
      <c r="W17" s="14" t="str">
        <f aca="false">IF(A17="","",IF(N17&lt;7.5,"グリーン行動の改善計画を設定",IF(L17&lt;1.5,"改善提案を月1件以上設定",IF(M17&lt;1.5,"環境研修・社内共有を追加","継続・横展開を検討"))))</f>
        <v/>
      </c>
    </row>
    <row r="18" customFormat="false" ht="15" hidden="false" customHeight="false" outlineLevel="0" collapsed="false">
      <c r="N18" s="14" t="str">
        <f aca="false">IF(A18="","",SUM(I18:M18))</f>
        <v/>
      </c>
      <c r="O18" s="14" t="str">
        <f aca="false">IF(A18="","",SUM(F18:H18,N18))</f>
        <v/>
      </c>
      <c r="P18" s="14" t="str">
        <f aca="false">IF(A18="","",IF(O18&gt;=95,"S",IF(O18&gt;=84,"A",IF(O18&gt;=68,"B",IF(O18&gt;=53,"C","D")))))</f>
        <v/>
      </c>
      <c r="Q18" s="14" t="str">
        <f aca="false">IF(A18="","",IF(N18&gt;=13.5,"S",IF(N18&gt;=12,"A",IF(N18&gt;=9.75,"B",IF(N18&gt;=7.5,"C","D")))))</f>
        <v/>
      </c>
      <c r="R18" s="14" t="str">
        <f aca="false">IF(A18="","",VLOOKUP(P18,マスタ!$A$4:$C$8,2,FALSE()))</f>
        <v/>
      </c>
      <c r="S18" s="14" t="str">
        <f aca="false">IF(A18="","",VLOOKUP(P18,マスタ!$A$4:$C$8,3,FALSE()))</f>
        <v/>
      </c>
      <c r="T18" s="14" t="str">
        <f aca="false">IF(A18="","",VLOOKUP(Q18,マスタ!$E$4:$G$8,2,FALSE()))</f>
        <v/>
      </c>
      <c r="U18" s="14" t="str">
        <f aca="false">IF(A18="","",ROUND(S18*T18,3))</f>
        <v/>
      </c>
      <c r="V18" s="14" t="str">
        <f aca="false">IF(A18="","",IF(AND(O18&gt;=84,N18&gt;=12),"昇格候補",IF(AND(O18&gt;=68,N18&gt;=9.75),"昇格検討可",IF(AND(O18&gt;=53,N18&gt;=7.5),"通常","要育成"))))</f>
        <v/>
      </c>
      <c r="W18" s="14" t="str">
        <f aca="false">IF(A18="","",IF(N18&lt;7.5,"グリーン行動の改善計画を設定",IF(L18&lt;1.5,"改善提案を月1件以上設定",IF(M18&lt;1.5,"環境研修・社内共有を追加","継続・横展開を検討"))))</f>
        <v/>
      </c>
    </row>
    <row r="19" customFormat="false" ht="15" hidden="false" customHeight="false" outlineLevel="0" collapsed="false">
      <c r="N19" s="14" t="str">
        <f aca="false">IF(A19="","",SUM(I19:M19))</f>
        <v/>
      </c>
      <c r="O19" s="14" t="str">
        <f aca="false">IF(A19="","",SUM(F19:H19,N19))</f>
        <v/>
      </c>
      <c r="P19" s="14" t="str">
        <f aca="false">IF(A19="","",IF(O19&gt;=95,"S",IF(O19&gt;=84,"A",IF(O19&gt;=68,"B",IF(O19&gt;=53,"C","D")))))</f>
        <v/>
      </c>
      <c r="Q19" s="14" t="str">
        <f aca="false">IF(A19="","",IF(N19&gt;=13.5,"S",IF(N19&gt;=12,"A",IF(N19&gt;=9.75,"B",IF(N19&gt;=7.5,"C","D")))))</f>
        <v/>
      </c>
      <c r="R19" s="14" t="str">
        <f aca="false">IF(A19="","",VLOOKUP(P19,マスタ!$A$4:$C$8,2,FALSE()))</f>
        <v/>
      </c>
      <c r="S19" s="14" t="str">
        <f aca="false">IF(A19="","",VLOOKUP(P19,マスタ!$A$4:$C$8,3,FALSE()))</f>
        <v/>
      </c>
      <c r="T19" s="14" t="str">
        <f aca="false">IF(A19="","",VLOOKUP(Q19,マスタ!$E$4:$G$8,2,FALSE()))</f>
        <v/>
      </c>
      <c r="U19" s="14" t="str">
        <f aca="false">IF(A19="","",ROUND(S19*T19,3))</f>
        <v/>
      </c>
      <c r="V19" s="14" t="str">
        <f aca="false">IF(A19="","",IF(AND(O19&gt;=84,N19&gt;=12),"昇格候補",IF(AND(O19&gt;=68,N19&gt;=9.75),"昇格検討可",IF(AND(O19&gt;=53,N19&gt;=7.5),"通常","要育成"))))</f>
        <v/>
      </c>
      <c r="W19" s="14" t="str">
        <f aca="false">IF(A19="","",IF(N19&lt;7.5,"グリーン行動の改善計画を設定",IF(L19&lt;1.5,"改善提案を月1件以上設定",IF(M19&lt;1.5,"環境研修・社内共有を追加","継続・横展開を検討"))))</f>
        <v/>
      </c>
    </row>
    <row r="20" customFormat="false" ht="15" hidden="false" customHeight="false" outlineLevel="0" collapsed="false">
      <c r="N20" s="14" t="str">
        <f aca="false">IF(A20="","",SUM(I20:M20))</f>
        <v/>
      </c>
      <c r="O20" s="14" t="str">
        <f aca="false">IF(A20="","",SUM(F20:H20,N20))</f>
        <v/>
      </c>
      <c r="P20" s="14" t="str">
        <f aca="false">IF(A20="","",IF(O20&gt;=95,"S",IF(O20&gt;=84,"A",IF(O20&gt;=68,"B",IF(O20&gt;=53,"C","D")))))</f>
        <v/>
      </c>
      <c r="Q20" s="14" t="str">
        <f aca="false">IF(A20="","",IF(N20&gt;=13.5,"S",IF(N20&gt;=12,"A",IF(N20&gt;=9.75,"B",IF(N20&gt;=7.5,"C","D")))))</f>
        <v/>
      </c>
      <c r="R20" s="14" t="str">
        <f aca="false">IF(A20="","",VLOOKUP(P20,マスタ!$A$4:$C$8,2,FALSE()))</f>
        <v/>
      </c>
      <c r="S20" s="14" t="str">
        <f aca="false">IF(A20="","",VLOOKUP(P20,マスタ!$A$4:$C$8,3,FALSE()))</f>
        <v/>
      </c>
      <c r="T20" s="14" t="str">
        <f aca="false">IF(A20="","",VLOOKUP(Q20,マスタ!$E$4:$G$8,2,FALSE()))</f>
        <v/>
      </c>
      <c r="U20" s="14" t="str">
        <f aca="false">IF(A20="","",ROUND(S20*T20,3))</f>
        <v/>
      </c>
      <c r="V20" s="14" t="str">
        <f aca="false">IF(A20="","",IF(AND(O20&gt;=84,N20&gt;=12),"昇格候補",IF(AND(O20&gt;=68,N20&gt;=9.75),"昇格検討可",IF(AND(O20&gt;=53,N20&gt;=7.5),"通常","要育成"))))</f>
        <v/>
      </c>
      <c r="W20" s="14" t="str">
        <f aca="false">IF(A20="","",IF(N20&lt;7.5,"グリーン行動の改善計画を設定",IF(L20&lt;1.5,"改善提案を月1件以上設定",IF(M20&lt;1.5,"環境研修・社内共有を追加","継続・横展開を検討"))))</f>
        <v/>
      </c>
    </row>
    <row r="21" customFormat="false" ht="15" hidden="false" customHeight="false" outlineLevel="0" collapsed="false">
      <c r="N21" s="14" t="str">
        <f aca="false">IF(A21="","",SUM(I21:M21))</f>
        <v/>
      </c>
      <c r="O21" s="14" t="str">
        <f aca="false">IF(A21="","",SUM(F21:H21,N21))</f>
        <v/>
      </c>
      <c r="P21" s="14" t="str">
        <f aca="false">IF(A21="","",IF(O21&gt;=95,"S",IF(O21&gt;=84,"A",IF(O21&gt;=68,"B",IF(O21&gt;=53,"C","D")))))</f>
        <v/>
      </c>
      <c r="Q21" s="14" t="str">
        <f aca="false">IF(A21="","",IF(N21&gt;=13.5,"S",IF(N21&gt;=12,"A",IF(N21&gt;=9.75,"B",IF(N21&gt;=7.5,"C","D")))))</f>
        <v/>
      </c>
      <c r="R21" s="14" t="str">
        <f aca="false">IF(A21="","",VLOOKUP(P21,マスタ!$A$4:$C$8,2,FALSE()))</f>
        <v/>
      </c>
      <c r="S21" s="14" t="str">
        <f aca="false">IF(A21="","",VLOOKUP(P21,マスタ!$A$4:$C$8,3,FALSE()))</f>
        <v/>
      </c>
      <c r="T21" s="14" t="str">
        <f aca="false">IF(A21="","",VLOOKUP(Q21,マスタ!$E$4:$G$8,2,FALSE()))</f>
        <v/>
      </c>
      <c r="U21" s="14" t="str">
        <f aca="false">IF(A21="","",ROUND(S21*T21,3))</f>
        <v/>
      </c>
      <c r="V21" s="14" t="str">
        <f aca="false">IF(A21="","",IF(AND(O21&gt;=84,N21&gt;=12),"昇格候補",IF(AND(O21&gt;=68,N21&gt;=9.75),"昇格検討可",IF(AND(O21&gt;=53,N21&gt;=7.5),"通常","要育成"))))</f>
        <v/>
      </c>
      <c r="W21" s="14" t="str">
        <f aca="false">IF(A21="","",IF(N21&lt;7.5,"グリーン行動の改善計画を設定",IF(L21&lt;1.5,"改善提案を月1件以上設定",IF(M21&lt;1.5,"環境研修・社内共有を追加","継続・横展開を検討"))))</f>
        <v/>
      </c>
    </row>
    <row r="22" customFormat="false" ht="15" hidden="false" customHeight="false" outlineLevel="0" collapsed="false">
      <c r="N22" s="14" t="str">
        <f aca="false">IF(A22="","",SUM(I22:M22))</f>
        <v/>
      </c>
      <c r="O22" s="14" t="str">
        <f aca="false">IF(A22="","",SUM(F22:H22,N22))</f>
        <v/>
      </c>
      <c r="P22" s="14" t="str">
        <f aca="false">IF(A22="","",IF(O22&gt;=95,"S",IF(O22&gt;=84,"A",IF(O22&gt;=68,"B",IF(O22&gt;=53,"C","D")))))</f>
        <v/>
      </c>
      <c r="Q22" s="14" t="str">
        <f aca="false">IF(A22="","",IF(N22&gt;=13.5,"S",IF(N22&gt;=12,"A",IF(N22&gt;=9.75,"B",IF(N22&gt;=7.5,"C","D")))))</f>
        <v/>
      </c>
      <c r="R22" s="14" t="str">
        <f aca="false">IF(A22="","",VLOOKUP(P22,マスタ!$A$4:$C$8,2,FALSE()))</f>
        <v/>
      </c>
      <c r="S22" s="14" t="str">
        <f aca="false">IF(A22="","",VLOOKUP(P22,マスタ!$A$4:$C$8,3,FALSE()))</f>
        <v/>
      </c>
      <c r="T22" s="14" t="str">
        <f aca="false">IF(A22="","",VLOOKUP(Q22,マスタ!$E$4:$G$8,2,FALSE()))</f>
        <v/>
      </c>
      <c r="U22" s="14" t="str">
        <f aca="false">IF(A22="","",ROUND(S22*T22,3))</f>
        <v/>
      </c>
      <c r="V22" s="14" t="str">
        <f aca="false">IF(A22="","",IF(AND(O22&gt;=84,N22&gt;=12),"昇格候補",IF(AND(O22&gt;=68,N22&gt;=9.75),"昇格検討可",IF(AND(O22&gt;=53,N22&gt;=7.5),"通常","要育成"))))</f>
        <v/>
      </c>
      <c r="W22" s="14" t="str">
        <f aca="false">IF(A22="","",IF(N22&lt;7.5,"グリーン行動の改善計画を設定",IF(L22&lt;1.5,"改善提案を月1件以上設定",IF(M22&lt;1.5,"環境研修・社内共有を追加","継続・横展開を検討"))))</f>
        <v/>
      </c>
    </row>
    <row r="23" customFormat="false" ht="15" hidden="false" customHeight="false" outlineLevel="0" collapsed="false">
      <c r="N23" s="14" t="str">
        <f aca="false">IF(A23="","",SUM(I23:M23))</f>
        <v/>
      </c>
      <c r="O23" s="14" t="str">
        <f aca="false">IF(A23="","",SUM(F23:H23,N23))</f>
        <v/>
      </c>
      <c r="P23" s="14" t="str">
        <f aca="false">IF(A23="","",IF(O23&gt;=95,"S",IF(O23&gt;=84,"A",IF(O23&gt;=68,"B",IF(O23&gt;=53,"C","D")))))</f>
        <v/>
      </c>
      <c r="Q23" s="14" t="str">
        <f aca="false">IF(A23="","",IF(N23&gt;=13.5,"S",IF(N23&gt;=12,"A",IF(N23&gt;=9.75,"B",IF(N23&gt;=7.5,"C","D")))))</f>
        <v/>
      </c>
      <c r="R23" s="14" t="str">
        <f aca="false">IF(A23="","",VLOOKUP(P23,マスタ!$A$4:$C$8,2,FALSE()))</f>
        <v/>
      </c>
      <c r="S23" s="14" t="str">
        <f aca="false">IF(A23="","",VLOOKUP(P23,マスタ!$A$4:$C$8,3,FALSE()))</f>
        <v/>
      </c>
      <c r="T23" s="14" t="str">
        <f aca="false">IF(A23="","",VLOOKUP(Q23,マスタ!$E$4:$G$8,2,FALSE()))</f>
        <v/>
      </c>
      <c r="U23" s="14" t="str">
        <f aca="false">IF(A23="","",ROUND(S23*T23,3))</f>
        <v/>
      </c>
      <c r="V23" s="14" t="str">
        <f aca="false">IF(A23="","",IF(AND(O23&gt;=84,N23&gt;=12),"昇格候補",IF(AND(O23&gt;=68,N23&gt;=9.75),"昇格検討可",IF(AND(O23&gt;=53,N23&gt;=7.5),"通常","要育成"))))</f>
        <v/>
      </c>
      <c r="W23" s="14" t="str">
        <f aca="false">IF(A23="","",IF(N23&lt;7.5,"グリーン行動の改善計画を設定",IF(L23&lt;1.5,"改善提案を月1件以上設定",IF(M23&lt;1.5,"環境研修・社内共有を追加","継続・横展開を検討"))))</f>
        <v/>
      </c>
    </row>
    <row r="24" customFormat="false" ht="15" hidden="false" customHeight="false" outlineLevel="0" collapsed="false">
      <c r="N24" s="14" t="str">
        <f aca="false">IF(A24="","",SUM(I24:M24))</f>
        <v/>
      </c>
      <c r="O24" s="14" t="str">
        <f aca="false">IF(A24="","",SUM(F24:H24,N24))</f>
        <v/>
      </c>
      <c r="P24" s="14" t="str">
        <f aca="false">IF(A24="","",IF(O24&gt;=95,"S",IF(O24&gt;=84,"A",IF(O24&gt;=68,"B",IF(O24&gt;=53,"C","D")))))</f>
        <v/>
      </c>
      <c r="Q24" s="14" t="str">
        <f aca="false">IF(A24="","",IF(N24&gt;=13.5,"S",IF(N24&gt;=12,"A",IF(N24&gt;=9.75,"B",IF(N24&gt;=7.5,"C","D")))))</f>
        <v/>
      </c>
      <c r="R24" s="14" t="str">
        <f aca="false">IF(A24="","",VLOOKUP(P24,マスタ!$A$4:$C$8,2,FALSE()))</f>
        <v/>
      </c>
      <c r="S24" s="14" t="str">
        <f aca="false">IF(A24="","",VLOOKUP(P24,マスタ!$A$4:$C$8,3,FALSE()))</f>
        <v/>
      </c>
      <c r="T24" s="14" t="str">
        <f aca="false">IF(A24="","",VLOOKUP(Q24,マスタ!$E$4:$G$8,2,FALSE()))</f>
        <v/>
      </c>
      <c r="U24" s="14" t="str">
        <f aca="false">IF(A24="","",ROUND(S24*T24,3))</f>
        <v/>
      </c>
      <c r="V24" s="14" t="str">
        <f aca="false">IF(A24="","",IF(AND(O24&gt;=84,N24&gt;=12),"昇格候補",IF(AND(O24&gt;=68,N24&gt;=9.75),"昇格検討可",IF(AND(O24&gt;=53,N24&gt;=7.5),"通常","要育成"))))</f>
        <v/>
      </c>
      <c r="W24" s="14" t="str">
        <f aca="false">IF(A24="","",IF(N24&lt;7.5,"グリーン行動の改善計画を設定",IF(L24&lt;1.5,"改善提案を月1件以上設定",IF(M24&lt;1.5,"環境研修・社内共有を追加","継続・横展開を検討"))))</f>
        <v/>
      </c>
    </row>
    <row r="25" customFormat="false" ht="15" hidden="false" customHeight="false" outlineLevel="0" collapsed="false">
      <c r="N25" s="14" t="str">
        <f aca="false">IF(A25="","",SUM(I25:M25))</f>
        <v/>
      </c>
      <c r="O25" s="14" t="str">
        <f aca="false">IF(A25="","",SUM(F25:H25,N25))</f>
        <v/>
      </c>
      <c r="P25" s="14" t="str">
        <f aca="false">IF(A25="","",IF(O25&gt;=95,"S",IF(O25&gt;=84,"A",IF(O25&gt;=68,"B",IF(O25&gt;=53,"C","D")))))</f>
        <v/>
      </c>
      <c r="Q25" s="14" t="str">
        <f aca="false">IF(A25="","",IF(N25&gt;=13.5,"S",IF(N25&gt;=12,"A",IF(N25&gt;=9.75,"B",IF(N25&gt;=7.5,"C","D")))))</f>
        <v/>
      </c>
      <c r="R25" s="14" t="str">
        <f aca="false">IF(A25="","",VLOOKUP(P25,マスタ!$A$4:$C$8,2,FALSE()))</f>
        <v/>
      </c>
      <c r="S25" s="14" t="str">
        <f aca="false">IF(A25="","",VLOOKUP(P25,マスタ!$A$4:$C$8,3,FALSE()))</f>
        <v/>
      </c>
      <c r="T25" s="14" t="str">
        <f aca="false">IF(A25="","",VLOOKUP(Q25,マスタ!$E$4:$G$8,2,FALSE()))</f>
        <v/>
      </c>
      <c r="U25" s="14" t="str">
        <f aca="false">IF(A25="","",ROUND(S25*T25,3))</f>
        <v/>
      </c>
      <c r="V25" s="14" t="str">
        <f aca="false">IF(A25="","",IF(AND(O25&gt;=84,N25&gt;=12),"昇格候補",IF(AND(O25&gt;=68,N25&gt;=9.75),"昇格検討可",IF(AND(O25&gt;=53,N25&gt;=7.5),"通常","要育成"))))</f>
        <v/>
      </c>
      <c r="W25" s="14" t="str">
        <f aca="false">IF(A25="","",IF(N25&lt;7.5,"グリーン行動の改善計画を設定",IF(L25&lt;1.5,"改善提案を月1件以上設定",IF(M25&lt;1.5,"環境研修・社内共有を追加","継続・横展開を検討"))))</f>
        <v/>
      </c>
    </row>
    <row r="26" customFormat="false" ht="15" hidden="false" customHeight="false" outlineLevel="0" collapsed="false">
      <c r="N26" s="14" t="str">
        <f aca="false">IF(A26="","",SUM(I26:M26))</f>
        <v/>
      </c>
      <c r="O26" s="14" t="str">
        <f aca="false">IF(A26="","",SUM(F26:H26,N26))</f>
        <v/>
      </c>
      <c r="P26" s="14" t="str">
        <f aca="false">IF(A26="","",IF(O26&gt;=95,"S",IF(O26&gt;=84,"A",IF(O26&gt;=68,"B",IF(O26&gt;=53,"C","D")))))</f>
        <v/>
      </c>
      <c r="Q26" s="14" t="str">
        <f aca="false">IF(A26="","",IF(N26&gt;=13.5,"S",IF(N26&gt;=12,"A",IF(N26&gt;=9.75,"B",IF(N26&gt;=7.5,"C","D")))))</f>
        <v/>
      </c>
      <c r="R26" s="14" t="str">
        <f aca="false">IF(A26="","",VLOOKUP(P26,マスタ!$A$4:$C$8,2,FALSE()))</f>
        <v/>
      </c>
      <c r="S26" s="14" t="str">
        <f aca="false">IF(A26="","",VLOOKUP(P26,マスタ!$A$4:$C$8,3,FALSE()))</f>
        <v/>
      </c>
      <c r="T26" s="14" t="str">
        <f aca="false">IF(A26="","",VLOOKUP(Q26,マスタ!$E$4:$G$8,2,FALSE()))</f>
        <v/>
      </c>
      <c r="U26" s="14" t="str">
        <f aca="false">IF(A26="","",ROUND(S26*T26,3))</f>
        <v/>
      </c>
      <c r="V26" s="14" t="str">
        <f aca="false">IF(A26="","",IF(AND(O26&gt;=84,N26&gt;=12),"昇格候補",IF(AND(O26&gt;=68,N26&gt;=9.75),"昇格検討可",IF(AND(O26&gt;=53,N26&gt;=7.5),"通常","要育成"))))</f>
        <v/>
      </c>
      <c r="W26" s="14" t="str">
        <f aca="false">IF(A26="","",IF(N26&lt;7.5,"グリーン行動の改善計画を設定",IF(L26&lt;1.5,"改善提案を月1件以上設定",IF(M26&lt;1.5,"環境研修・社内共有を追加","継続・横展開を検討"))))</f>
        <v/>
      </c>
    </row>
    <row r="27" customFormat="false" ht="15" hidden="false" customHeight="false" outlineLevel="0" collapsed="false">
      <c r="N27" s="14" t="str">
        <f aca="false">IF(A27="","",SUM(I27:M27))</f>
        <v/>
      </c>
      <c r="O27" s="14" t="str">
        <f aca="false">IF(A27="","",SUM(F27:H27,N27))</f>
        <v/>
      </c>
      <c r="P27" s="14" t="str">
        <f aca="false">IF(A27="","",IF(O27&gt;=95,"S",IF(O27&gt;=84,"A",IF(O27&gt;=68,"B",IF(O27&gt;=53,"C","D")))))</f>
        <v/>
      </c>
      <c r="Q27" s="14" t="str">
        <f aca="false">IF(A27="","",IF(N27&gt;=13.5,"S",IF(N27&gt;=12,"A",IF(N27&gt;=9.75,"B",IF(N27&gt;=7.5,"C","D")))))</f>
        <v/>
      </c>
      <c r="R27" s="14" t="str">
        <f aca="false">IF(A27="","",VLOOKUP(P27,マスタ!$A$4:$C$8,2,FALSE()))</f>
        <v/>
      </c>
      <c r="S27" s="14" t="str">
        <f aca="false">IF(A27="","",VLOOKUP(P27,マスタ!$A$4:$C$8,3,FALSE()))</f>
        <v/>
      </c>
      <c r="T27" s="14" t="str">
        <f aca="false">IF(A27="","",VLOOKUP(Q27,マスタ!$E$4:$G$8,2,FALSE()))</f>
        <v/>
      </c>
      <c r="U27" s="14" t="str">
        <f aca="false">IF(A27="","",ROUND(S27*T27,3))</f>
        <v/>
      </c>
      <c r="V27" s="14" t="str">
        <f aca="false">IF(A27="","",IF(AND(O27&gt;=84,N27&gt;=12),"昇格候補",IF(AND(O27&gt;=68,N27&gt;=9.75),"昇格検討可",IF(AND(O27&gt;=53,N27&gt;=7.5),"通常","要育成"))))</f>
        <v/>
      </c>
      <c r="W27" s="14" t="str">
        <f aca="false">IF(A27="","",IF(N27&lt;7.5,"グリーン行動の改善計画を設定",IF(L27&lt;1.5,"改善提案を月1件以上設定",IF(M27&lt;1.5,"環境研修・社内共有を追加","継続・横展開を検討"))))</f>
        <v/>
      </c>
    </row>
    <row r="28" customFormat="false" ht="15" hidden="false" customHeight="false" outlineLevel="0" collapsed="false">
      <c r="N28" s="14" t="str">
        <f aca="false">IF(A28="","",SUM(I28:M28))</f>
        <v/>
      </c>
      <c r="O28" s="14" t="str">
        <f aca="false">IF(A28="","",SUM(F28:H28,N28))</f>
        <v/>
      </c>
      <c r="P28" s="14" t="str">
        <f aca="false">IF(A28="","",IF(O28&gt;=95,"S",IF(O28&gt;=84,"A",IF(O28&gt;=68,"B",IF(O28&gt;=53,"C","D")))))</f>
        <v/>
      </c>
      <c r="Q28" s="14" t="str">
        <f aca="false">IF(A28="","",IF(N28&gt;=13.5,"S",IF(N28&gt;=12,"A",IF(N28&gt;=9.75,"B",IF(N28&gt;=7.5,"C","D")))))</f>
        <v/>
      </c>
      <c r="R28" s="14" t="str">
        <f aca="false">IF(A28="","",VLOOKUP(P28,マスタ!$A$4:$C$8,2,FALSE()))</f>
        <v/>
      </c>
      <c r="S28" s="14" t="str">
        <f aca="false">IF(A28="","",VLOOKUP(P28,マスタ!$A$4:$C$8,3,FALSE()))</f>
        <v/>
      </c>
      <c r="T28" s="14" t="str">
        <f aca="false">IF(A28="","",VLOOKUP(Q28,マスタ!$E$4:$G$8,2,FALSE()))</f>
        <v/>
      </c>
      <c r="U28" s="14" t="str">
        <f aca="false">IF(A28="","",ROUND(S28*T28,3))</f>
        <v/>
      </c>
      <c r="V28" s="14" t="str">
        <f aca="false">IF(A28="","",IF(AND(O28&gt;=84,N28&gt;=12),"昇格候補",IF(AND(O28&gt;=68,N28&gt;=9.75),"昇格検討可",IF(AND(O28&gt;=53,N28&gt;=7.5),"通常","要育成"))))</f>
        <v/>
      </c>
      <c r="W28" s="14" t="str">
        <f aca="false">IF(A28="","",IF(N28&lt;7.5,"グリーン行動の改善計画を設定",IF(L28&lt;1.5,"改善提案を月1件以上設定",IF(M28&lt;1.5,"環境研修・社内共有を追加","継続・横展開を検討"))))</f>
        <v/>
      </c>
    </row>
    <row r="29" customFormat="false" ht="15" hidden="false" customHeight="false" outlineLevel="0" collapsed="false">
      <c r="N29" s="14" t="str">
        <f aca="false">IF(A29="","",SUM(I29:M29))</f>
        <v/>
      </c>
      <c r="O29" s="14" t="str">
        <f aca="false">IF(A29="","",SUM(F29:H29,N29))</f>
        <v/>
      </c>
      <c r="P29" s="14" t="str">
        <f aca="false">IF(A29="","",IF(O29&gt;=95,"S",IF(O29&gt;=84,"A",IF(O29&gt;=68,"B",IF(O29&gt;=53,"C","D")))))</f>
        <v/>
      </c>
      <c r="Q29" s="14" t="str">
        <f aca="false">IF(A29="","",IF(N29&gt;=13.5,"S",IF(N29&gt;=12,"A",IF(N29&gt;=9.75,"B",IF(N29&gt;=7.5,"C","D")))))</f>
        <v/>
      </c>
      <c r="R29" s="14" t="str">
        <f aca="false">IF(A29="","",VLOOKUP(P29,マスタ!$A$4:$C$8,2,FALSE()))</f>
        <v/>
      </c>
      <c r="S29" s="14" t="str">
        <f aca="false">IF(A29="","",VLOOKUP(P29,マスタ!$A$4:$C$8,3,FALSE()))</f>
        <v/>
      </c>
      <c r="T29" s="14" t="str">
        <f aca="false">IF(A29="","",VLOOKUP(Q29,マスタ!$E$4:$G$8,2,FALSE()))</f>
        <v/>
      </c>
      <c r="U29" s="14" t="str">
        <f aca="false">IF(A29="","",ROUND(S29*T29,3))</f>
        <v/>
      </c>
      <c r="V29" s="14" t="str">
        <f aca="false">IF(A29="","",IF(AND(O29&gt;=84,N29&gt;=12),"昇格候補",IF(AND(O29&gt;=68,N29&gt;=9.75),"昇格検討可",IF(AND(O29&gt;=53,N29&gt;=7.5),"通常","要育成"))))</f>
        <v/>
      </c>
      <c r="W29" s="14" t="str">
        <f aca="false">IF(A29="","",IF(N29&lt;7.5,"グリーン行動の改善計画を設定",IF(L29&lt;1.5,"改善提案を月1件以上設定",IF(M29&lt;1.5,"環境研修・社内共有を追加","継続・横展開を検討"))))</f>
        <v/>
      </c>
    </row>
    <row r="30" customFormat="false" ht="15" hidden="false" customHeight="false" outlineLevel="0" collapsed="false">
      <c r="N30" s="14" t="str">
        <f aca="false">IF(A30="","",SUM(I30:M30))</f>
        <v/>
      </c>
      <c r="O30" s="14" t="str">
        <f aca="false">IF(A30="","",SUM(F30:H30,N30))</f>
        <v/>
      </c>
      <c r="P30" s="14" t="str">
        <f aca="false">IF(A30="","",IF(O30&gt;=95,"S",IF(O30&gt;=84,"A",IF(O30&gt;=68,"B",IF(O30&gt;=53,"C","D")))))</f>
        <v/>
      </c>
      <c r="Q30" s="14" t="str">
        <f aca="false">IF(A30="","",IF(N30&gt;=13.5,"S",IF(N30&gt;=12,"A",IF(N30&gt;=9.75,"B",IF(N30&gt;=7.5,"C","D")))))</f>
        <v/>
      </c>
      <c r="R30" s="14" t="str">
        <f aca="false">IF(A30="","",VLOOKUP(P30,マスタ!$A$4:$C$8,2,FALSE()))</f>
        <v/>
      </c>
      <c r="S30" s="14" t="str">
        <f aca="false">IF(A30="","",VLOOKUP(P30,マスタ!$A$4:$C$8,3,FALSE()))</f>
        <v/>
      </c>
      <c r="T30" s="14" t="str">
        <f aca="false">IF(A30="","",VLOOKUP(Q30,マスタ!$E$4:$G$8,2,FALSE()))</f>
        <v/>
      </c>
      <c r="U30" s="14" t="str">
        <f aca="false">IF(A30="","",ROUND(S30*T30,3))</f>
        <v/>
      </c>
      <c r="V30" s="14" t="str">
        <f aca="false">IF(A30="","",IF(AND(O30&gt;=84,N30&gt;=12),"昇格候補",IF(AND(O30&gt;=68,N30&gt;=9.75),"昇格検討可",IF(AND(O30&gt;=53,N30&gt;=7.5),"通常","要育成"))))</f>
        <v/>
      </c>
      <c r="W30" s="14" t="str">
        <f aca="false">IF(A30="","",IF(N30&lt;7.5,"グリーン行動の改善計画を設定",IF(L30&lt;1.5,"改善提案を月1件以上設定",IF(M30&lt;1.5,"環境研修・社内共有を追加","継続・横展開を検討"))))</f>
        <v/>
      </c>
    </row>
    <row r="31" customFormat="false" ht="15" hidden="false" customHeight="false" outlineLevel="0" collapsed="false">
      <c r="N31" s="14" t="str">
        <f aca="false">IF(A31="","",SUM(I31:M31))</f>
        <v/>
      </c>
      <c r="O31" s="14" t="str">
        <f aca="false">IF(A31="","",SUM(F31:H31,N31))</f>
        <v/>
      </c>
      <c r="P31" s="14" t="str">
        <f aca="false">IF(A31="","",IF(O31&gt;=95,"S",IF(O31&gt;=84,"A",IF(O31&gt;=68,"B",IF(O31&gt;=53,"C","D")))))</f>
        <v/>
      </c>
      <c r="Q31" s="14" t="str">
        <f aca="false">IF(A31="","",IF(N31&gt;=13.5,"S",IF(N31&gt;=12,"A",IF(N31&gt;=9.75,"B",IF(N31&gt;=7.5,"C","D")))))</f>
        <v/>
      </c>
      <c r="R31" s="14" t="str">
        <f aca="false">IF(A31="","",VLOOKUP(P31,マスタ!$A$4:$C$8,2,FALSE()))</f>
        <v/>
      </c>
      <c r="S31" s="14" t="str">
        <f aca="false">IF(A31="","",VLOOKUP(P31,マスタ!$A$4:$C$8,3,FALSE()))</f>
        <v/>
      </c>
      <c r="T31" s="14" t="str">
        <f aca="false">IF(A31="","",VLOOKUP(Q31,マスタ!$E$4:$G$8,2,FALSE()))</f>
        <v/>
      </c>
      <c r="U31" s="14" t="str">
        <f aca="false">IF(A31="","",ROUND(S31*T31,3))</f>
        <v/>
      </c>
      <c r="V31" s="14" t="str">
        <f aca="false">IF(A31="","",IF(AND(O31&gt;=84,N31&gt;=12),"昇格候補",IF(AND(O31&gt;=68,N31&gt;=9.75),"昇格検討可",IF(AND(O31&gt;=53,N31&gt;=7.5),"通常","要育成"))))</f>
        <v/>
      </c>
      <c r="W31" s="14" t="str">
        <f aca="false">IF(A31="","",IF(N31&lt;7.5,"グリーン行動の改善計画を設定",IF(L31&lt;1.5,"改善提案を月1件以上設定",IF(M31&lt;1.5,"環境研修・社内共有を追加","継続・横展開を検討"))))</f>
        <v/>
      </c>
    </row>
    <row r="32" customFormat="false" ht="15" hidden="false" customHeight="false" outlineLevel="0" collapsed="false">
      <c r="N32" s="14" t="str">
        <f aca="false">IF(A32="","",SUM(I32:M32))</f>
        <v/>
      </c>
      <c r="O32" s="14" t="str">
        <f aca="false">IF(A32="","",SUM(F32:H32,N32))</f>
        <v/>
      </c>
      <c r="P32" s="14" t="str">
        <f aca="false">IF(A32="","",IF(O32&gt;=95,"S",IF(O32&gt;=84,"A",IF(O32&gt;=68,"B",IF(O32&gt;=53,"C","D")))))</f>
        <v/>
      </c>
      <c r="Q32" s="14" t="str">
        <f aca="false">IF(A32="","",IF(N32&gt;=13.5,"S",IF(N32&gt;=12,"A",IF(N32&gt;=9.75,"B",IF(N32&gt;=7.5,"C","D")))))</f>
        <v/>
      </c>
      <c r="R32" s="14" t="str">
        <f aca="false">IF(A32="","",VLOOKUP(P32,マスタ!$A$4:$C$8,2,FALSE()))</f>
        <v/>
      </c>
      <c r="S32" s="14" t="str">
        <f aca="false">IF(A32="","",VLOOKUP(P32,マスタ!$A$4:$C$8,3,FALSE()))</f>
        <v/>
      </c>
      <c r="T32" s="14" t="str">
        <f aca="false">IF(A32="","",VLOOKUP(Q32,マスタ!$E$4:$G$8,2,FALSE()))</f>
        <v/>
      </c>
      <c r="U32" s="14" t="str">
        <f aca="false">IF(A32="","",ROUND(S32*T32,3))</f>
        <v/>
      </c>
      <c r="V32" s="14" t="str">
        <f aca="false">IF(A32="","",IF(AND(O32&gt;=84,N32&gt;=12),"昇格候補",IF(AND(O32&gt;=68,N32&gt;=9.75),"昇格検討可",IF(AND(O32&gt;=53,N32&gt;=7.5),"通常","要育成"))))</f>
        <v/>
      </c>
      <c r="W32" s="14" t="str">
        <f aca="false">IF(A32="","",IF(N32&lt;7.5,"グリーン行動の改善計画を設定",IF(L32&lt;1.5,"改善提案を月1件以上設定",IF(M32&lt;1.5,"環境研修・社内共有を追加","継続・横展開を検討"))))</f>
        <v/>
      </c>
    </row>
    <row r="33" customFormat="false" ht="15" hidden="false" customHeight="false" outlineLevel="0" collapsed="false">
      <c r="N33" s="14" t="str">
        <f aca="false">IF(A33="","",SUM(I33:M33))</f>
        <v/>
      </c>
      <c r="O33" s="14" t="str">
        <f aca="false">IF(A33="","",SUM(F33:H33,N33))</f>
        <v/>
      </c>
      <c r="P33" s="14" t="str">
        <f aca="false">IF(A33="","",IF(O33&gt;=95,"S",IF(O33&gt;=84,"A",IF(O33&gt;=68,"B",IF(O33&gt;=53,"C","D")))))</f>
        <v/>
      </c>
      <c r="Q33" s="14" t="str">
        <f aca="false">IF(A33="","",IF(N33&gt;=13.5,"S",IF(N33&gt;=12,"A",IF(N33&gt;=9.75,"B",IF(N33&gt;=7.5,"C","D")))))</f>
        <v/>
      </c>
      <c r="R33" s="14" t="str">
        <f aca="false">IF(A33="","",VLOOKUP(P33,マスタ!$A$4:$C$8,2,FALSE()))</f>
        <v/>
      </c>
      <c r="S33" s="14" t="str">
        <f aca="false">IF(A33="","",VLOOKUP(P33,マスタ!$A$4:$C$8,3,FALSE()))</f>
        <v/>
      </c>
      <c r="T33" s="14" t="str">
        <f aca="false">IF(A33="","",VLOOKUP(Q33,マスタ!$E$4:$G$8,2,FALSE()))</f>
        <v/>
      </c>
      <c r="U33" s="14" t="str">
        <f aca="false">IF(A33="","",ROUND(S33*T33,3))</f>
        <v/>
      </c>
      <c r="V33" s="14" t="str">
        <f aca="false">IF(A33="","",IF(AND(O33&gt;=84,N33&gt;=12),"昇格候補",IF(AND(O33&gt;=68,N33&gt;=9.75),"昇格検討可",IF(AND(O33&gt;=53,N33&gt;=7.5),"通常","要育成"))))</f>
        <v/>
      </c>
      <c r="W33" s="14" t="str">
        <f aca="false">IF(A33="","",IF(N33&lt;7.5,"グリーン行動の改善計画を設定",IF(L33&lt;1.5,"改善提案を月1件以上設定",IF(M33&lt;1.5,"環境研修・社内共有を追加","継続・横展開を検討"))))</f>
        <v/>
      </c>
    </row>
    <row r="34" customFormat="false" ht="15" hidden="false" customHeight="false" outlineLevel="0" collapsed="false">
      <c r="N34" s="14" t="str">
        <f aca="false">IF(A34="","",SUM(I34:M34))</f>
        <v/>
      </c>
      <c r="O34" s="14" t="str">
        <f aca="false">IF(A34="","",SUM(F34:H34,N34))</f>
        <v/>
      </c>
      <c r="P34" s="14" t="str">
        <f aca="false">IF(A34="","",IF(O34&gt;=95,"S",IF(O34&gt;=84,"A",IF(O34&gt;=68,"B",IF(O34&gt;=53,"C","D")))))</f>
        <v/>
      </c>
      <c r="Q34" s="14" t="str">
        <f aca="false">IF(A34="","",IF(N34&gt;=13.5,"S",IF(N34&gt;=12,"A",IF(N34&gt;=9.75,"B",IF(N34&gt;=7.5,"C","D")))))</f>
        <v/>
      </c>
      <c r="R34" s="14" t="str">
        <f aca="false">IF(A34="","",VLOOKUP(P34,マスタ!$A$4:$C$8,2,FALSE()))</f>
        <v/>
      </c>
      <c r="S34" s="14" t="str">
        <f aca="false">IF(A34="","",VLOOKUP(P34,マスタ!$A$4:$C$8,3,FALSE()))</f>
        <v/>
      </c>
      <c r="T34" s="14" t="str">
        <f aca="false">IF(A34="","",VLOOKUP(Q34,マスタ!$E$4:$G$8,2,FALSE()))</f>
        <v/>
      </c>
      <c r="U34" s="14" t="str">
        <f aca="false">IF(A34="","",ROUND(S34*T34,3))</f>
        <v/>
      </c>
      <c r="V34" s="14" t="str">
        <f aca="false">IF(A34="","",IF(AND(O34&gt;=84,N34&gt;=12),"昇格候補",IF(AND(O34&gt;=68,N34&gt;=9.75),"昇格検討可",IF(AND(O34&gt;=53,N34&gt;=7.5),"通常","要育成"))))</f>
        <v/>
      </c>
      <c r="W34" s="14" t="str">
        <f aca="false">IF(A34="","",IF(N34&lt;7.5,"グリーン行動の改善計画を設定",IF(L34&lt;1.5,"改善提案を月1件以上設定",IF(M34&lt;1.5,"環境研修・社内共有を追加","継続・横展開を検討"))))</f>
        <v/>
      </c>
    </row>
    <row r="35" customFormat="false" ht="15" hidden="false" customHeight="false" outlineLevel="0" collapsed="false">
      <c r="N35" s="14" t="str">
        <f aca="false">IF(A35="","",SUM(I35:M35))</f>
        <v/>
      </c>
      <c r="O35" s="14" t="str">
        <f aca="false">IF(A35="","",SUM(F35:H35,N35))</f>
        <v/>
      </c>
      <c r="P35" s="14" t="str">
        <f aca="false">IF(A35="","",IF(O35&gt;=95,"S",IF(O35&gt;=84,"A",IF(O35&gt;=68,"B",IF(O35&gt;=53,"C","D")))))</f>
        <v/>
      </c>
      <c r="Q35" s="14" t="str">
        <f aca="false">IF(A35="","",IF(N35&gt;=13.5,"S",IF(N35&gt;=12,"A",IF(N35&gt;=9.75,"B",IF(N35&gt;=7.5,"C","D")))))</f>
        <v/>
      </c>
      <c r="R35" s="14" t="str">
        <f aca="false">IF(A35="","",VLOOKUP(P35,マスタ!$A$4:$C$8,2,FALSE()))</f>
        <v/>
      </c>
      <c r="S35" s="14" t="str">
        <f aca="false">IF(A35="","",VLOOKUP(P35,マスタ!$A$4:$C$8,3,FALSE()))</f>
        <v/>
      </c>
      <c r="T35" s="14" t="str">
        <f aca="false">IF(A35="","",VLOOKUP(Q35,マスタ!$E$4:$G$8,2,FALSE()))</f>
        <v/>
      </c>
      <c r="U35" s="14" t="str">
        <f aca="false">IF(A35="","",ROUND(S35*T35,3))</f>
        <v/>
      </c>
      <c r="V35" s="14" t="str">
        <f aca="false">IF(A35="","",IF(AND(O35&gt;=84,N35&gt;=12),"昇格候補",IF(AND(O35&gt;=68,N35&gt;=9.75),"昇格検討可",IF(AND(O35&gt;=53,N35&gt;=7.5),"通常","要育成"))))</f>
        <v/>
      </c>
      <c r="W35" s="14" t="str">
        <f aca="false">IF(A35="","",IF(N35&lt;7.5,"グリーン行動の改善計画を設定",IF(L35&lt;1.5,"改善提案を月1件以上設定",IF(M35&lt;1.5,"環境研修・社内共有を追加","継続・横展開を検討"))))</f>
        <v/>
      </c>
    </row>
    <row r="36" customFormat="false" ht="15" hidden="false" customHeight="false" outlineLevel="0" collapsed="false">
      <c r="N36" s="14" t="str">
        <f aca="false">IF(A36="","",SUM(I36:M36))</f>
        <v/>
      </c>
      <c r="O36" s="14" t="str">
        <f aca="false">IF(A36="","",SUM(F36:H36,N36))</f>
        <v/>
      </c>
      <c r="P36" s="14" t="str">
        <f aca="false">IF(A36="","",IF(O36&gt;=95,"S",IF(O36&gt;=84,"A",IF(O36&gt;=68,"B",IF(O36&gt;=53,"C","D")))))</f>
        <v/>
      </c>
      <c r="Q36" s="14" t="str">
        <f aca="false">IF(A36="","",IF(N36&gt;=13.5,"S",IF(N36&gt;=12,"A",IF(N36&gt;=9.75,"B",IF(N36&gt;=7.5,"C","D")))))</f>
        <v/>
      </c>
      <c r="R36" s="14" t="str">
        <f aca="false">IF(A36="","",VLOOKUP(P36,マスタ!$A$4:$C$8,2,FALSE()))</f>
        <v/>
      </c>
      <c r="S36" s="14" t="str">
        <f aca="false">IF(A36="","",VLOOKUP(P36,マスタ!$A$4:$C$8,3,FALSE()))</f>
        <v/>
      </c>
      <c r="T36" s="14" t="str">
        <f aca="false">IF(A36="","",VLOOKUP(Q36,マスタ!$E$4:$G$8,2,FALSE()))</f>
        <v/>
      </c>
      <c r="U36" s="14" t="str">
        <f aca="false">IF(A36="","",ROUND(S36*T36,3))</f>
        <v/>
      </c>
      <c r="V36" s="14" t="str">
        <f aca="false">IF(A36="","",IF(AND(O36&gt;=84,N36&gt;=12),"昇格候補",IF(AND(O36&gt;=68,N36&gt;=9.75),"昇格検討可",IF(AND(O36&gt;=53,N36&gt;=7.5),"通常","要育成"))))</f>
        <v/>
      </c>
      <c r="W36" s="14" t="str">
        <f aca="false">IF(A36="","",IF(N36&lt;7.5,"グリーン行動の改善計画を設定",IF(L36&lt;1.5,"改善提案を月1件以上設定",IF(M36&lt;1.5,"環境研修・社内共有を追加","継続・横展開を検討"))))</f>
        <v/>
      </c>
    </row>
    <row r="37" customFormat="false" ht="15" hidden="false" customHeight="false" outlineLevel="0" collapsed="false">
      <c r="N37" s="14" t="str">
        <f aca="false">IF(A37="","",SUM(I37:M37))</f>
        <v/>
      </c>
      <c r="O37" s="14" t="str">
        <f aca="false">IF(A37="","",SUM(F37:H37,N37))</f>
        <v/>
      </c>
      <c r="P37" s="14" t="str">
        <f aca="false">IF(A37="","",IF(O37&gt;=95,"S",IF(O37&gt;=84,"A",IF(O37&gt;=68,"B",IF(O37&gt;=53,"C","D")))))</f>
        <v/>
      </c>
      <c r="Q37" s="14" t="str">
        <f aca="false">IF(A37="","",IF(N37&gt;=13.5,"S",IF(N37&gt;=12,"A",IF(N37&gt;=9.75,"B",IF(N37&gt;=7.5,"C","D")))))</f>
        <v/>
      </c>
      <c r="R37" s="14" t="str">
        <f aca="false">IF(A37="","",VLOOKUP(P37,マスタ!$A$4:$C$8,2,FALSE()))</f>
        <v/>
      </c>
      <c r="S37" s="14" t="str">
        <f aca="false">IF(A37="","",VLOOKUP(P37,マスタ!$A$4:$C$8,3,FALSE()))</f>
        <v/>
      </c>
      <c r="T37" s="14" t="str">
        <f aca="false">IF(A37="","",VLOOKUP(Q37,マスタ!$E$4:$G$8,2,FALSE()))</f>
        <v/>
      </c>
      <c r="U37" s="14" t="str">
        <f aca="false">IF(A37="","",ROUND(S37*T37,3))</f>
        <v/>
      </c>
      <c r="V37" s="14" t="str">
        <f aca="false">IF(A37="","",IF(AND(O37&gt;=84,N37&gt;=12),"昇格候補",IF(AND(O37&gt;=68,N37&gt;=9.75),"昇格検討可",IF(AND(O37&gt;=53,N37&gt;=7.5),"通常","要育成"))))</f>
        <v/>
      </c>
      <c r="W37" s="14" t="str">
        <f aca="false">IF(A37="","",IF(N37&lt;7.5,"グリーン行動の改善計画を設定",IF(L37&lt;1.5,"改善提案を月1件以上設定",IF(M37&lt;1.5,"環境研修・社内共有を追加","継続・横展開を検討"))))</f>
        <v/>
      </c>
    </row>
    <row r="38" customFormat="false" ht="15" hidden="false" customHeight="false" outlineLevel="0" collapsed="false">
      <c r="N38" s="14" t="str">
        <f aca="false">IF(A38="","",SUM(I38:M38))</f>
        <v/>
      </c>
      <c r="O38" s="14" t="str">
        <f aca="false">IF(A38="","",SUM(F38:H38,N38))</f>
        <v/>
      </c>
      <c r="P38" s="14" t="str">
        <f aca="false">IF(A38="","",IF(O38&gt;=95,"S",IF(O38&gt;=84,"A",IF(O38&gt;=68,"B",IF(O38&gt;=53,"C","D")))))</f>
        <v/>
      </c>
      <c r="Q38" s="14" t="str">
        <f aca="false">IF(A38="","",IF(N38&gt;=13.5,"S",IF(N38&gt;=12,"A",IF(N38&gt;=9.75,"B",IF(N38&gt;=7.5,"C","D")))))</f>
        <v/>
      </c>
      <c r="R38" s="14" t="str">
        <f aca="false">IF(A38="","",VLOOKUP(P38,マスタ!$A$4:$C$8,2,FALSE()))</f>
        <v/>
      </c>
      <c r="S38" s="14" t="str">
        <f aca="false">IF(A38="","",VLOOKUP(P38,マスタ!$A$4:$C$8,3,FALSE()))</f>
        <v/>
      </c>
      <c r="T38" s="14" t="str">
        <f aca="false">IF(A38="","",VLOOKUP(Q38,マスタ!$E$4:$G$8,2,FALSE()))</f>
        <v/>
      </c>
      <c r="U38" s="14" t="str">
        <f aca="false">IF(A38="","",ROUND(S38*T38,3))</f>
        <v/>
      </c>
      <c r="V38" s="14" t="str">
        <f aca="false">IF(A38="","",IF(AND(O38&gt;=84,N38&gt;=12),"昇格候補",IF(AND(O38&gt;=68,N38&gt;=9.75),"昇格検討可",IF(AND(O38&gt;=53,N38&gt;=7.5),"通常","要育成"))))</f>
        <v/>
      </c>
      <c r="W38" s="14" t="str">
        <f aca="false">IF(A38="","",IF(N38&lt;7.5,"グリーン行動の改善計画を設定",IF(L38&lt;1.5,"改善提案を月1件以上設定",IF(M38&lt;1.5,"環境研修・社内共有を追加","継続・横展開を検討"))))</f>
        <v/>
      </c>
    </row>
    <row r="39" customFormat="false" ht="15" hidden="false" customHeight="false" outlineLevel="0" collapsed="false">
      <c r="N39" s="14" t="str">
        <f aca="false">IF(A39="","",SUM(I39:M39))</f>
        <v/>
      </c>
      <c r="O39" s="14" t="str">
        <f aca="false">IF(A39="","",SUM(F39:H39,N39))</f>
        <v/>
      </c>
      <c r="P39" s="14" t="str">
        <f aca="false">IF(A39="","",IF(O39&gt;=95,"S",IF(O39&gt;=84,"A",IF(O39&gt;=68,"B",IF(O39&gt;=53,"C","D")))))</f>
        <v/>
      </c>
      <c r="Q39" s="14" t="str">
        <f aca="false">IF(A39="","",IF(N39&gt;=13.5,"S",IF(N39&gt;=12,"A",IF(N39&gt;=9.75,"B",IF(N39&gt;=7.5,"C","D")))))</f>
        <v/>
      </c>
      <c r="R39" s="14" t="str">
        <f aca="false">IF(A39="","",VLOOKUP(P39,マスタ!$A$4:$C$8,2,FALSE()))</f>
        <v/>
      </c>
      <c r="S39" s="14" t="str">
        <f aca="false">IF(A39="","",VLOOKUP(P39,マスタ!$A$4:$C$8,3,FALSE()))</f>
        <v/>
      </c>
      <c r="T39" s="14" t="str">
        <f aca="false">IF(A39="","",VLOOKUP(Q39,マスタ!$E$4:$G$8,2,FALSE()))</f>
        <v/>
      </c>
      <c r="U39" s="14" t="str">
        <f aca="false">IF(A39="","",ROUND(S39*T39,3))</f>
        <v/>
      </c>
      <c r="V39" s="14" t="str">
        <f aca="false">IF(A39="","",IF(AND(O39&gt;=84,N39&gt;=12),"昇格候補",IF(AND(O39&gt;=68,N39&gt;=9.75),"昇格検討可",IF(AND(O39&gt;=53,N39&gt;=7.5),"通常","要育成"))))</f>
        <v/>
      </c>
      <c r="W39" s="14" t="str">
        <f aca="false">IF(A39="","",IF(N39&lt;7.5,"グリーン行動の改善計画を設定",IF(L39&lt;1.5,"改善提案を月1件以上設定",IF(M39&lt;1.5,"環境研修・社内共有を追加","継続・横展開を検討"))))</f>
        <v/>
      </c>
    </row>
    <row r="40" customFormat="false" ht="15" hidden="false" customHeight="false" outlineLevel="0" collapsed="false">
      <c r="N40" s="14" t="str">
        <f aca="false">IF(A40="","",SUM(I40:M40))</f>
        <v/>
      </c>
      <c r="O40" s="14" t="str">
        <f aca="false">IF(A40="","",SUM(F40:H40,N40))</f>
        <v/>
      </c>
      <c r="P40" s="14" t="str">
        <f aca="false">IF(A40="","",IF(O40&gt;=95,"S",IF(O40&gt;=84,"A",IF(O40&gt;=68,"B",IF(O40&gt;=53,"C","D")))))</f>
        <v/>
      </c>
      <c r="Q40" s="14" t="str">
        <f aca="false">IF(A40="","",IF(N40&gt;=13.5,"S",IF(N40&gt;=12,"A",IF(N40&gt;=9.75,"B",IF(N40&gt;=7.5,"C","D")))))</f>
        <v/>
      </c>
      <c r="R40" s="14" t="str">
        <f aca="false">IF(A40="","",VLOOKUP(P40,マスタ!$A$4:$C$8,2,FALSE()))</f>
        <v/>
      </c>
      <c r="S40" s="14" t="str">
        <f aca="false">IF(A40="","",VLOOKUP(P40,マスタ!$A$4:$C$8,3,FALSE()))</f>
        <v/>
      </c>
      <c r="T40" s="14" t="str">
        <f aca="false">IF(A40="","",VLOOKUP(Q40,マスタ!$E$4:$G$8,2,FALSE()))</f>
        <v/>
      </c>
      <c r="U40" s="14" t="str">
        <f aca="false">IF(A40="","",ROUND(S40*T40,3))</f>
        <v/>
      </c>
      <c r="V40" s="14" t="str">
        <f aca="false">IF(A40="","",IF(AND(O40&gt;=84,N40&gt;=12),"昇格候補",IF(AND(O40&gt;=68,N40&gt;=9.75),"昇格検討可",IF(AND(O40&gt;=53,N40&gt;=7.5),"通常","要育成"))))</f>
        <v/>
      </c>
      <c r="W40" s="14" t="str">
        <f aca="false">IF(A40="","",IF(N40&lt;7.5,"グリーン行動の改善計画を設定",IF(L40&lt;1.5,"改善提案を月1件以上設定",IF(M40&lt;1.5,"環境研修・社内共有を追加","継続・横展開を検討"))))</f>
        <v/>
      </c>
    </row>
    <row r="41" customFormat="false" ht="15" hidden="false" customHeight="false" outlineLevel="0" collapsed="false">
      <c r="N41" s="14" t="str">
        <f aca="false">IF(A41="","",SUM(I41:M41))</f>
        <v/>
      </c>
      <c r="O41" s="14" t="str">
        <f aca="false">IF(A41="","",SUM(F41:H41,N41))</f>
        <v/>
      </c>
      <c r="P41" s="14" t="str">
        <f aca="false">IF(A41="","",IF(O41&gt;=95,"S",IF(O41&gt;=84,"A",IF(O41&gt;=68,"B",IF(O41&gt;=53,"C","D")))))</f>
        <v/>
      </c>
      <c r="Q41" s="14" t="str">
        <f aca="false">IF(A41="","",IF(N41&gt;=13.5,"S",IF(N41&gt;=12,"A",IF(N41&gt;=9.75,"B",IF(N41&gt;=7.5,"C","D")))))</f>
        <v/>
      </c>
      <c r="R41" s="14" t="str">
        <f aca="false">IF(A41="","",VLOOKUP(P41,マスタ!$A$4:$C$8,2,FALSE()))</f>
        <v/>
      </c>
      <c r="S41" s="14" t="str">
        <f aca="false">IF(A41="","",VLOOKUP(P41,マスタ!$A$4:$C$8,3,FALSE()))</f>
        <v/>
      </c>
      <c r="T41" s="14" t="str">
        <f aca="false">IF(A41="","",VLOOKUP(Q41,マスタ!$E$4:$G$8,2,FALSE()))</f>
        <v/>
      </c>
      <c r="U41" s="14" t="str">
        <f aca="false">IF(A41="","",ROUND(S41*T41,3))</f>
        <v/>
      </c>
      <c r="V41" s="14" t="str">
        <f aca="false">IF(A41="","",IF(AND(O41&gt;=84,N41&gt;=12),"昇格候補",IF(AND(O41&gt;=68,N41&gt;=9.75),"昇格検討可",IF(AND(O41&gt;=53,N41&gt;=7.5),"通常","要育成"))))</f>
        <v/>
      </c>
      <c r="W41" s="14" t="str">
        <f aca="false">IF(A41="","",IF(N41&lt;7.5,"グリーン行動の改善計画を設定",IF(L41&lt;1.5,"改善提案を月1件以上設定",IF(M41&lt;1.5,"環境研修・社内共有を追加","継続・横展開を検討"))))</f>
        <v/>
      </c>
    </row>
    <row r="42" customFormat="false" ht="15" hidden="false" customHeight="false" outlineLevel="0" collapsed="false">
      <c r="N42" s="14" t="str">
        <f aca="false">IF(A42="","",SUM(I42:M42))</f>
        <v/>
      </c>
      <c r="O42" s="14" t="str">
        <f aca="false">IF(A42="","",SUM(F42:H42,N42))</f>
        <v/>
      </c>
      <c r="P42" s="14" t="str">
        <f aca="false">IF(A42="","",IF(O42&gt;=95,"S",IF(O42&gt;=84,"A",IF(O42&gt;=68,"B",IF(O42&gt;=53,"C","D")))))</f>
        <v/>
      </c>
      <c r="Q42" s="14" t="str">
        <f aca="false">IF(A42="","",IF(N42&gt;=13.5,"S",IF(N42&gt;=12,"A",IF(N42&gt;=9.75,"B",IF(N42&gt;=7.5,"C","D")))))</f>
        <v/>
      </c>
      <c r="R42" s="14" t="str">
        <f aca="false">IF(A42="","",VLOOKUP(P42,マスタ!$A$4:$C$8,2,FALSE()))</f>
        <v/>
      </c>
      <c r="S42" s="14" t="str">
        <f aca="false">IF(A42="","",VLOOKUP(P42,マスタ!$A$4:$C$8,3,FALSE()))</f>
        <v/>
      </c>
      <c r="T42" s="14" t="str">
        <f aca="false">IF(A42="","",VLOOKUP(Q42,マスタ!$E$4:$G$8,2,FALSE()))</f>
        <v/>
      </c>
      <c r="U42" s="14" t="str">
        <f aca="false">IF(A42="","",ROUND(S42*T42,3))</f>
        <v/>
      </c>
      <c r="V42" s="14" t="str">
        <f aca="false">IF(A42="","",IF(AND(O42&gt;=84,N42&gt;=12),"昇格候補",IF(AND(O42&gt;=68,N42&gt;=9.75),"昇格検討可",IF(AND(O42&gt;=53,N42&gt;=7.5),"通常","要育成"))))</f>
        <v/>
      </c>
      <c r="W42" s="14" t="str">
        <f aca="false">IF(A42="","",IF(N42&lt;7.5,"グリーン行動の改善計画を設定",IF(L42&lt;1.5,"改善提案を月1件以上設定",IF(M42&lt;1.5,"環境研修・社内共有を追加","継続・横展開を検討"))))</f>
        <v/>
      </c>
    </row>
    <row r="43" customFormat="false" ht="15" hidden="false" customHeight="false" outlineLevel="0" collapsed="false">
      <c r="N43" s="14" t="str">
        <f aca="false">IF(A43="","",SUM(I43:M43))</f>
        <v/>
      </c>
      <c r="O43" s="14" t="str">
        <f aca="false">IF(A43="","",SUM(F43:H43,N43))</f>
        <v/>
      </c>
      <c r="P43" s="14" t="str">
        <f aca="false">IF(A43="","",IF(O43&gt;=95,"S",IF(O43&gt;=84,"A",IF(O43&gt;=68,"B",IF(O43&gt;=53,"C","D")))))</f>
        <v/>
      </c>
      <c r="Q43" s="14" t="str">
        <f aca="false">IF(A43="","",IF(N43&gt;=13.5,"S",IF(N43&gt;=12,"A",IF(N43&gt;=9.75,"B",IF(N43&gt;=7.5,"C","D")))))</f>
        <v/>
      </c>
      <c r="R43" s="14" t="str">
        <f aca="false">IF(A43="","",VLOOKUP(P43,マスタ!$A$4:$C$8,2,FALSE()))</f>
        <v/>
      </c>
      <c r="S43" s="14" t="str">
        <f aca="false">IF(A43="","",VLOOKUP(P43,マスタ!$A$4:$C$8,3,FALSE()))</f>
        <v/>
      </c>
      <c r="T43" s="14" t="str">
        <f aca="false">IF(A43="","",VLOOKUP(Q43,マスタ!$E$4:$G$8,2,FALSE()))</f>
        <v/>
      </c>
      <c r="U43" s="14" t="str">
        <f aca="false">IF(A43="","",ROUND(S43*T43,3))</f>
        <v/>
      </c>
      <c r="V43" s="14" t="str">
        <f aca="false">IF(A43="","",IF(AND(O43&gt;=84,N43&gt;=12),"昇格候補",IF(AND(O43&gt;=68,N43&gt;=9.75),"昇格検討可",IF(AND(O43&gt;=53,N43&gt;=7.5),"通常","要育成"))))</f>
        <v/>
      </c>
      <c r="W43" s="14" t="str">
        <f aca="false">IF(A43="","",IF(N43&lt;7.5,"グリーン行動の改善計画を設定",IF(L43&lt;1.5,"改善提案を月1件以上設定",IF(M43&lt;1.5,"環境研修・社内共有を追加","継続・横展開を検討"))))</f>
        <v/>
      </c>
    </row>
    <row r="44" customFormat="false" ht="15" hidden="false" customHeight="false" outlineLevel="0" collapsed="false">
      <c r="N44" s="14" t="str">
        <f aca="false">IF(A44="","",SUM(I44:M44))</f>
        <v/>
      </c>
      <c r="O44" s="14" t="str">
        <f aca="false">IF(A44="","",SUM(F44:H44,N44))</f>
        <v/>
      </c>
      <c r="P44" s="14" t="str">
        <f aca="false">IF(A44="","",IF(O44&gt;=95,"S",IF(O44&gt;=84,"A",IF(O44&gt;=68,"B",IF(O44&gt;=53,"C","D")))))</f>
        <v/>
      </c>
      <c r="Q44" s="14" t="str">
        <f aca="false">IF(A44="","",IF(N44&gt;=13.5,"S",IF(N44&gt;=12,"A",IF(N44&gt;=9.75,"B",IF(N44&gt;=7.5,"C","D")))))</f>
        <v/>
      </c>
      <c r="R44" s="14" t="str">
        <f aca="false">IF(A44="","",VLOOKUP(P44,マスタ!$A$4:$C$8,2,FALSE()))</f>
        <v/>
      </c>
      <c r="S44" s="14" t="str">
        <f aca="false">IF(A44="","",VLOOKUP(P44,マスタ!$A$4:$C$8,3,FALSE()))</f>
        <v/>
      </c>
      <c r="T44" s="14" t="str">
        <f aca="false">IF(A44="","",VLOOKUP(Q44,マスタ!$E$4:$G$8,2,FALSE()))</f>
        <v/>
      </c>
      <c r="U44" s="14" t="str">
        <f aca="false">IF(A44="","",ROUND(S44*T44,3))</f>
        <v/>
      </c>
      <c r="V44" s="14" t="str">
        <f aca="false">IF(A44="","",IF(AND(O44&gt;=84,N44&gt;=12),"昇格候補",IF(AND(O44&gt;=68,N44&gt;=9.75),"昇格検討可",IF(AND(O44&gt;=53,N44&gt;=7.5),"通常","要育成"))))</f>
        <v/>
      </c>
      <c r="W44" s="14" t="str">
        <f aca="false">IF(A44="","",IF(N44&lt;7.5,"グリーン行動の改善計画を設定",IF(L44&lt;1.5,"改善提案を月1件以上設定",IF(M44&lt;1.5,"環境研修・社内共有を追加","継続・横展開を検討"))))</f>
        <v/>
      </c>
    </row>
    <row r="45" customFormat="false" ht="15" hidden="false" customHeight="false" outlineLevel="0" collapsed="false">
      <c r="N45" s="14" t="str">
        <f aca="false">IF(A45="","",SUM(I45:M45))</f>
        <v/>
      </c>
      <c r="O45" s="14" t="str">
        <f aca="false">IF(A45="","",SUM(F45:H45,N45))</f>
        <v/>
      </c>
      <c r="P45" s="14" t="str">
        <f aca="false">IF(A45="","",IF(O45&gt;=95,"S",IF(O45&gt;=84,"A",IF(O45&gt;=68,"B",IF(O45&gt;=53,"C","D")))))</f>
        <v/>
      </c>
      <c r="Q45" s="14" t="str">
        <f aca="false">IF(A45="","",IF(N45&gt;=13.5,"S",IF(N45&gt;=12,"A",IF(N45&gt;=9.75,"B",IF(N45&gt;=7.5,"C","D")))))</f>
        <v/>
      </c>
      <c r="R45" s="14" t="str">
        <f aca="false">IF(A45="","",VLOOKUP(P45,マスタ!$A$4:$C$8,2,FALSE()))</f>
        <v/>
      </c>
      <c r="S45" s="14" t="str">
        <f aca="false">IF(A45="","",VLOOKUP(P45,マスタ!$A$4:$C$8,3,FALSE()))</f>
        <v/>
      </c>
      <c r="T45" s="14" t="str">
        <f aca="false">IF(A45="","",VLOOKUP(Q45,マスタ!$E$4:$G$8,2,FALSE()))</f>
        <v/>
      </c>
      <c r="U45" s="14" t="str">
        <f aca="false">IF(A45="","",ROUND(S45*T45,3))</f>
        <v/>
      </c>
      <c r="V45" s="14" t="str">
        <f aca="false">IF(A45="","",IF(AND(O45&gt;=84,N45&gt;=12),"昇格候補",IF(AND(O45&gt;=68,N45&gt;=9.75),"昇格検討可",IF(AND(O45&gt;=53,N45&gt;=7.5),"通常","要育成"))))</f>
        <v/>
      </c>
      <c r="W45" s="14" t="str">
        <f aca="false">IF(A45="","",IF(N45&lt;7.5,"グリーン行動の改善計画を設定",IF(L45&lt;1.5,"改善提案を月1件以上設定",IF(M45&lt;1.5,"環境研修・社内共有を追加","継続・横展開を検討"))))</f>
        <v/>
      </c>
    </row>
    <row r="46" customFormat="false" ht="15" hidden="false" customHeight="false" outlineLevel="0" collapsed="false">
      <c r="N46" s="14" t="str">
        <f aca="false">IF(A46="","",SUM(I46:M46))</f>
        <v/>
      </c>
      <c r="O46" s="14" t="str">
        <f aca="false">IF(A46="","",SUM(F46:H46,N46))</f>
        <v/>
      </c>
      <c r="P46" s="14" t="str">
        <f aca="false">IF(A46="","",IF(O46&gt;=95,"S",IF(O46&gt;=84,"A",IF(O46&gt;=68,"B",IF(O46&gt;=53,"C","D")))))</f>
        <v/>
      </c>
      <c r="Q46" s="14" t="str">
        <f aca="false">IF(A46="","",IF(N46&gt;=13.5,"S",IF(N46&gt;=12,"A",IF(N46&gt;=9.75,"B",IF(N46&gt;=7.5,"C","D")))))</f>
        <v/>
      </c>
      <c r="R46" s="14" t="str">
        <f aca="false">IF(A46="","",VLOOKUP(P46,マスタ!$A$4:$C$8,2,FALSE()))</f>
        <v/>
      </c>
      <c r="S46" s="14" t="str">
        <f aca="false">IF(A46="","",VLOOKUP(P46,マスタ!$A$4:$C$8,3,FALSE()))</f>
        <v/>
      </c>
      <c r="T46" s="14" t="str">
        <f aca="false">IF(A46="","",VLOOKUP(Q46,マスタ!$E$4:$G$8,2,FALSE()))</f>
        <v/>
      </c>
      <c r="U46" s="14" t="str">
        <f aca="false">IF(A46="","",ROUND(S46*T46,3))</f>
        <v/>
      </c>
      <c r="V46" s="14" t="str">
        <f aca="false">IF(A46="","",IF(AND(O46&gt;=84,N46&gt;=12),"昇格候補",IF(AND(O46&gt;=68,N46&gt;=9.75),"昇格検討可",IF(AND(O46&gt;=53,N46&gt;=7.5),"通常","要育成"))))</f>
        <v/>
      </c>
      <c r="W46" s="14" t="str">
        <f aca="false">IF(A46="","",IF(N46&lt;7.5,"グリーン行動の改善計画を設定",IF(L46&lt;1.5,"改善提案を月1件以上設定",IF(M46&lt;1.5,"環境研修・社内共有を追加","継続・横展開を検討"))))</f>
        <v/>
      </c>
    </row>
    <row r="47" customFormat="false" ht="15" hidden="false" customHeight="false" outlineLevel="0" collapsed="false">
      <c r="N47" s="14" t="str">
        <f aca="false">IF(A47="","",SUM(I47:M47))</f>
        <v/>
      </c>
      <c r="O47" s="14" t="str">
        <f aca="false">IF(A47="","",SUM(F47:H47,N47))</f>
        <v/>
      </c>
      <c r="P47" s="14" t="str">
        <f aca="false">IF(A47="","",IF(O47&gt;=95,"S",IF(O47&gt;=84,"A",IF(O47&gt;=68,"B",IF(O47&gt;=53,"C","D")))))</f>
        <v/>
      </c>
      <c r="Q47" s="14" t="str">
        <f aca="false">IF(A47="","",IF(N47&gt;=13.5,"S",IF(N47&gt;=12,"A",IF(N47&gt;=9.75,"B",IF(N47&gt;=7.5,"C","D")))))</f>
        <v/>
      </c>
      <c r="R47" s="14" t="str">
        <f aca="false">IF(A47="","",VLOOKUP(P47,マスタ!$A$4:$C$8,2,FALSE()))</f>
        <v/>
      </c>
      <c r="S47" s="14" t="str">
        <f aca="false">IF(A47="","",VLOOKUP(P47,マスタ!$A$4:$C$8,3,FALSE()))</f>
        <v/>
      </c>
      <c r="T47" s="14" t="str">
        <f aca="false">IF(A47="","",VLOOKUP(Q47,マスタ!$E$4:$G$8,2,FALSE()))</f>
        <v/>
      </c>
      <c r="U47" s="14" t="str">
        <f aca="false">IF(A47="","",ROUND(S47*T47,3))</f>
        <v/>
      </c>
      <c r="V47" s="14" t="str">
        <f aca="false">IF(A47="","",IF(AND(O47&gt;=84,N47&gt;=12),"昇格候補",IF(AND(O47&gt;=68,N47&gt;=9.75),"昇格検討可",IF(AND(O47&gt;=53,N47&gt;=7.5),"通常","要育成"))))</f>
        <v/>
      </c>
      <c r="W47" s="14" t="str">
        <f aca="false">IF(A47="","",IF(N47&lt;7.5,"グリーン行動の改善計画を設定",IF(L47&lt;1.5,"改善提案を月1件以上設定",IF(M47&lt;1.5,"環境研修・社内共有を追加","継続・横展開を検討"))))</f>
        <v/>
      </c>
    </row>
    <row r="48" customFormat="false" ht="15" hidden="false" customHeight="false" outlineLevel="0" collapsed="false">
      <c r="N48" s="14" t="str">
        <f aca="false">IF(A48="","",SUM(I48:M48))</f>
        <v/>
      </c>
      <c r="O48" s="14" t="str">
        <f aca="false">IF(A48="","",SUM(F48:H48,N48))</f>
        <v/>
      </c>
      <c r="P48" s="14" t="str">
        <f aca="false">IF(A48="","",IF(O48&gt;=95,"S",IF(O48&gt;=84,"A",IF(O48&gt;=68,"B",IF(O48&gt;=53,"C","D")))))</f>
        <v/>
      </c>
      <c r="Q48" s="14" t="str">
        <f aca="false">IF(A48="","",IF(N48&gt;=13.5,"S",IF(N48&gt;=12,"A",IF(N48&gt;=9.75,"B",IF(N48&gt;=7.5,"C","D")))))</f>
        <v/>
      </c>
      <c r="R48" s="14" t="str">
        <f aca="false">IF(A48="","",VLOOKUP(P48,マスタ!$A$4:$C$8,2,FALSE()))</f>
        <v/>
      </c>
      <c r="S48" s="14" t="str">
        <f aca="false">IF(A48="","",VLOOKUP(P48,マスタ!$A$4:$C$8,3,FALSE()))</f>
        <v/>
      </c>
      <c r="T48" s="14" t="str">
        <f aca="false">IF(A48="","",VLOOKUP(Q48,マスタ!$E$4:$G$8,2,FALSE()))</f>
        <v/>
      </c>
      <c r="U48" s="14" t="str">
        <f aca="false">IF(A48="","",ROUND(S48*T48,3))</f>
        <v/>
      </c>
      <c r="V48" s="14" t="str">
        <f aca="false">IF(A48="","",IF(AND(O48&gt;=84,N48&gt;=12),"昇格候補",IF(AND(O48&gt;=68,N48&gt;=9.75),"昇格検討可",IF(AND(O48&gt;=53,N48&gt;=7.5),"通常","要育成"))))</f>
        <v/>
      </c>
      <c r="W48" s="14" t="str">
        <f aca="false">IF(A48="","",IF(N48&lt;7.5,"グリーン行動の改善計画を設定",IF(L48&lt;1.5,"改善提案を月1件以上設定",IF(M48&lt;1.5,"環境研修・社内共有を追加","継続・横展開を検討"))))</f>
        <v/>
      </c>
    </row>
    <row r="49" customFormat="false" ht="15" hidden="false" customHeight="false" outlineLevel="0" collapsed="false">
      <c r="N49" s="14" t="str">
        <f aca="false">IF(A49="","",SUM(I49:M49))</f>
        <v/>
      </c>
      <c r="O49" s="14" t="str">
        <f aca="false">IF(A49="","",SUM(F49:H49,N49))</f>
        <v/>
      </c>
      <c r="P49" s="14" t="str">
        <f aca="false">IF(A49="","",IF(O49&gt;=95,"S",IF(O49&gt;=84,"A",IF(O49&gt;=68,"B",IF(O49&gt;=53,"C","D")))))</f>
        <v/>
      </c>
      <c r="Q49" s="14" t="str">
        <f aca="false">IF(A49="","",IF(N49&gt;=13.5,"S",IF(N49&gt;=12,"A",IF(N49&gt;=9.75,"B",IF(N49&gt;=7.5,"C","D")))))</f>
        <v/>
      </c>
      <c r="R49" s="14" t="str">
        <f aca="false">IF(A49="","",VLOOKUP(P49,マスタ!$A$4:$C$8,2,FALSE()))</f>
        <v/>
      </c>
      <c r="S49" s="14" t="str">
        <f aca="false">IF(A49="","",VLOOKUP(P49,マスタ!$A$4:$C$8,3,FALSE()))</f>
        <v/>
      </c>
      <c r="T49" s="14" t="str">
        <f aca="false">IF(A49="","",VLOOKUP(Q49,マスタ!$E$4:$G$8,2,FALSE()))</f>
        <v/>
      </c>
      <c r="U49" s="14" t="str">
        <f aca="false">IF(A49="","",ROUND(S49*T49,3))</f>
        <v/>
      </c>
      <c r="V49" s="14" t="str">
        <f aca="false">IF(A49="","",IF(AND(O49&gt;=84,N49&gt;=12),"昇格候補",IF(AND(O49&gt;=68,N49&gt;=9.75),"昇格検討可",IF(AND(O49&gt;=53,N49&gt;=7.5),"通常","要育成"))))</f>
        <v/>
      </c>
      <c r="W49" s="14" t="str">
        <f aca="false">IF(A49="","",IF(N49&lt;7.5,"グリーン行動の改善計画を設定",IF(L49&lt;1.5,"改善提案を月1件以上設定",IF(M49&lt;1.5,"環境研修・社内共有を追加","継続・横展開を検討"))))</f>
        <v/>
      </c>
    </row>
    <row r="50" customFormat="false" ht="15" hidden="false" customHeight="false" outlineLevel="0" collapsed="false">
      <c r="N50" s="14" t="str">
        <f aca="false">IF(A50="","",SUM(I50:M50))</f>
        <v/>
      </c>
      <c r="O50" s="14" t="str">
        <f aca="false">IF(A50="","",SUM(F50:H50,N50))</f>
        <v/>
      </c>
      <c r="P50" s="14" t="str">
        <f aca="false">IF(A50="","",IF(O50&gt;=95,"S",IF(O50&gt;=84,"A",IF(O50&gt;=68,"B",IF(O50&gt;=53,"C","D")))))</f>
        <v/>
      </c>
      <c r="Q50" s="14" t="str">
        <f aca="false">IF(A50="","",IF(N50&gt;=13.5,"S",IF(N50&gt;=12,"A",IF(N50&gt;=9.75,"B",IF(N50&gt;=7.5,"C","D")))))</f>
        <v/>
      </c>
      <c r="R50" s="14" t="str">
        <f aca="false">IF(A50="","",VLOOKUP(P50,マスタ!$A$4:$C$8,2,FALSE()))</f>
        <v/>
      </c>
      <c r="S50" s="14" t="str">
        <f aca="false">IF(A50="","",VLOOKUP(P50,マスタ!$A$4:$C$8,3,FALSE()))</f>
        <v/>
      </c>
      <c r="T50" s="14" t="str">
        <f aca="false">IF(A50="","",VLOOKUP(Q50,マスタ!$E$4:$G$8,2,FALSE()))</f>
        <v/>
      </c>
      <c r="U50" s="14" t="str">
        <f aca="false">IF(A50="","",ROUND(S50*T50,3))</f>
        <v/>
      </c>
      <c r="V50" s="14" t="str">
        <f aca="false">IF(A50="","",IF(AND(O50&gt;=84,N50&gt;=12),"昇格候補",IF(AND(O50&gt;=68,N50&gt;=9.75),"昇格検討可",IF(AND(O50&gt;=53,N50&gt;=7.5),"通常","要育成"))))</f>
        <v/>
      </c>
      <c r="W50" s="14" t="str">
        <f aca="false">IF(A50="","",IF(N50&lt;7.5,"グリーン行動の改善計画を設定",IF(L50&lt;1.5,"改善提案を月1件以上設定",IF(M50&lt;1.5,"環境研修・社内共有を追加","継続・横展開を検討"))))</f>
        <v/>
      </c>
    </row>
    <row r="51" customFormat="false" ht="15" hidden="false" customHeight="false" outlineLevel="0" collapsed="false">
      <c r="N51" s="14" t="str">
        <f aca="false">IF(A51="","",SUM(I51:M51))</f>
        <v/>
      </c>
      <c r="O51" s="14" t="str">
        <f aca="false">IF(A51="","",SUM(F51:H51,N51))</f>
        <v/>
      </c>
      <c r="P51" s="14" t="str">
        <f aca="false">IF(A51="","",IF(O51&gt;=95,"S",IF(O51&gt;=84,"A",IF(O51&gt;=68,"B",IF(O51&gt;=53,"C","D")))))</f>
        <v/>
      </c>
      <c r="Q51" s="14" t="str">
        <f aca="false">IF(A51="","",IF(N51&gt;=13.5,"S",IF(N51&gt;=12,"A",IF(N51&gt;=9.75,"B",IF(N51&gt;=7.5,"C","D")))))</f>
        <v/>
      </c>
      <c r="R51" s="14" t="str">
        <f aca="false">IF(A51="","",VLOOKUP(P51,マスタ!$A$4:$C$8,2,FALSE()))</f>
        <v/>
      </c>
      <c r="S51" s="14" t="str">
        <f aca="false">IF(A51="","",VLOOKUP(P51,マスタ!$A$4:$C$8,3,FALSE()))</f>
        <v/>
      </c>
      <c r="T51" s="14" t="str">
        <f aca="false">IF(A51="","",VLOOKUP(Q51,マスタ!$E$4:$G$8,2,FALSE()))</f>
        <v/>
      </c>
      <c r="U51" s="14" t="str">
        <f aca="false">IF(A51="","",ROUND(S51*T51,3))</f>
        <v/>
      </c>
      <c r="V51" s="14" t="str">
        <f aca="false">IF(A51="","",IF(AND(O51&gt;=84,N51&gt;=12),"昇格候補",IF(AND(O51&gt;=68,N51&gt;=9.75),"昇格検討可",IF(AND(O51&gt;=53,N51&gt;=7.5),"通常","要育成"))))</f>
        <v/>
      </c>
      <c r="W51" s="14" t="str">
        <f aca="false">IF(A51="","",IF(N51&lt;7.5,"グリーン行動の改善計画を設定",IF(L51&lt;1.5,"改善提案を月1件以上設定",IF(M51&lt;1.5,"環境研修・社内共有を追加","継続・横展開を検討"))))</f>
        <v/>
      </c>
    </row>
    <row r="52" customFormat="false" ht="15" hidden="false" customHeight="false" outlineLevel="0" collapsed="false">
      <c r="N52" s="14" t="str">
        <f aca="false">IF(A52="","",SUM(I52:M52))</f>
        <v/>
      </c>
      <c r="O52" s="14" t="str">
        <f aca="false">IF(A52="","",SUM(F52:H52,N52))</f>
        <v/>
      </c>
      <c r="P52" s="14" t="str">
        <f aca="false">IF(A52="","",IF(O52&gt;=95,"S",IF(O52&gt;=84,"A",IF(O52&gt;=68,"B",IF(O52&gt;=53,"C","D")))))</f>
        <v/>
      </c>
      <c r="Q52" s="14" t="str">
        <f aca="false">IF(A52="","",IF(N52&gt;=13.5,"S",IF(N52&gt;=12,"A",IF(N52&gt;=9.75,"B",IF(N52&gt;=7.5,"C","D")))))</f>
        <v/>
      </c>
      <c r="R52" s="14" t="str">
        <f aca="false">IF(A52="","",VLOOKUP(P52,マスタ!$A$4:$C$8,2,FALSE()))</f>
        <v/>
      </c>
      <c r="S52" s="14" t="str">
        <f aca="false">IF(A52="","",VLOOKUP(P52,マスタ!$A$4:$C$8,3,FALSE()))</f>
        <v/>
      </c>
      <c r="T52" s="14" t="str">
        <f aca="false">IF(A52="","",VLOOKUP(Q52,マスタ!$E$4:$G$8,2,FALSE()))</f>
        <v/>
      </c>
      <c r="U52" s="14" t="str">
        <f aca="false">IF(A52="","",ROUND(S52*T52,3))</f>
        <v/>
      </c>
      <c r="V52" s="14" t="str">
        <f aca="false">IF(A52="","",IF(AND(O52&gt;=84,N52&gt;=12),"昇格候補",IF(AND(O52&gt;=68,N52&gt;=9.75),"昇格検討可",IF(AND(O52&gt;=53,N52&gt;=7.5),"通常","要育成"))))</f>
        <v/>
      </c>
      <c r="W52" s="14" t="str">
        <f aca="false">IF(A52="","",IF(N52&lt;7.5,"グリーン行動の改善計画を設定",IF(L52&lt;1.5,"改善提案を月1件以上設定",IF(M52&lt;1.5,"環境研修・社内共有を追加","継続・横展開を検討"))))</f>
        <v/>
      </c>
    </row>
    <row r="53" customFormat="false" ht="15" hidden="false" customHeight="false" outlineLevel="0" collapsed="false">
      <c r="N53" s="14" t="str">
        <f aca="false">IF(A53="","",SUM(I53:M53))</f>
        <v/>
      </c>
      <c r="O53" s="14" t="str">
        <f aca="false">IF(A53="","",SUM(F53:H53,N53))</f>
        <v/>
      </c>
      <c r="P53" s="14" t="str">
        <f aca="false">IF(A53="","",IF(O53&gt;=95,"S",IF(O53&gt;=84,"A",IF(O53&gt;=68,"B",IF(O53&gt;=53,"C","D")))))</f>
        <v/>
      </c>
      <c r="Q53" s="14" t="str">
        <f aca="false">IF(A53="","",IF(N53&gt;=13.5,"S",IF(N53&gt;=12,"A",IF(N53&gt;=9.75,"B",IF(N53&gt;=7.5,"C","D")))))</f>
        <v/>
      </c>
      <c r="R53" s="14" t="str">
        <f aca="false">IF(A53="","",VLOOKUP(P53,マスタ!$A$4:$C$8,2,FALSE()))</f>
        <v/>
      </c>
      <c r="S53" s="14" t="str">
        <f aca="false">IF(A53="","",VLOOKUP(P53,マスタ!$A$4:$C$8,3,FALSE()))</f>
        <v/>
      </c>
      <c r="T53" s="14" t="str">
        <f aca="false">IF(A53="","",VLOOKUP(Q53,マスタ!$E$4:$G$8,2,FALSE()))</f>
        <v/>
      </c>
      <c r="U53" s="14" t="str">
        <f aca="false">IF(A53="","",ROUND(S53*T53,3))</f>
        <v/>
      </c>
      <c r="V53" s="14" t="str">
        <f aca="false">IF(A53="","",IF(AND(O53&gt;=84,N53&gt;=12),"昇格候補",IF(AND(O53&gt;=68,N53&gt;=9.75),"昇格検討可",IF(AND(O53&gt;=53,N53&gt;=7.5),"通常","要育成"))))</f>
        <v/>
      </c>
      <c r="W53" s="14" t="str">
        <f aca="false">IF(A53="","",IF(N53&lt;7.5,"グリーン行動の改善計画を設定",IF(L53&lt;1.5,"改善提案を月1件以上設定",IF(M53&lt;1.5,"環境研修・社内共有を追加","継続・横展開を検討"))))</f>
        <v/>
      </c>
    </row>
    <row r="54" customFormat="false" ht="15" hidden="false" customHeight="false" outlineLevel="0" collapsed="false">
      <c r="N54" s="14" t="str">
        <f aca="false">IF(A54="","",SUM(I54:M54))</f>
        <v/>
      </c>
      <c r="O54" s="14" t="str">
        <f aca="false">IF(A54="","",SUM(F54:H54,N54))</f>
        <v/>
      </c>
      <c r="P54" s="14" t="str">
        <f aca="false">IF(A54="","",IF(O54&gt;=95,"S",IF(O54&gt;=84,"A",IF(O54&gt;=68,"B",IF(O54&gt;=53,"C","D")))))</f>
        <v/>
      </c>
      <c r="Q54" s="14" t="str">
        <f aca="false">IF(A54="","",IF(N54&gt;=13.5,"S",IF(N54&gt;=12,"A",IF(N54&gt;=9.75,"B",IF(N54&gt;=7.5,"C","D")))))</f>
        <v/>
      </c>
      <c r="R54" s="14" t="str">
        <f aca="false">IF(A54="","",VLOOKUP(P54,マスタ!$A$4:$C$8,2,FALSE()))</f>
        <v/>
      </c>
      <c r="S54" s="14" t="str">
        <f aca="false">IF(A54="","",VLOOKUP(P54,マスタ!$A$4:$C$8,3,FALSE()))</f>
        <v/>
      </c>
      <c r="T54" s="14" t="str">
        <f aca="false">IF(A54="","",VLOOKUP(Q54,マスタ!$E$4:$G$8,2,FALSE()))</f>
        <v/>
      </c>
      <c r="U54" s="14" t="str">
        <f aca="false">IF(A54="","",ROUND(S54*T54,3))</f>
        <v/>
      </c>
      <c r="V54" s="14" t="str">
        <f aca="false">IF(A54="","",IF(AND(O54&gt;=84,N54&gt;=12),"昇格候補",IF(AND(O54&gt;=68,N54&gt;=9.75),"昇格検討可",IF(AND(O54&gt;=53,N54&gt;=7.5),"通常","要育成"))))</f>
        <v/>
      </c>
      <c r="W54" s="14" t="str">
        <f aca="false">IF(A54="","",IF(N54&lt;7.5,"グリーン行動の改善計画を設定",IF(L54&lt;1.5,"改善提案を月1件以上設定",IF(M54&lt;1.5,"環境研修・社内共有を追加","継続・横展開を検討"))))</f>
        <v/>
      </c>
    </row>
  </sheetData>
  <mergeCells count="2">
    <mergeCell ref="A1:W1"/>
    <mergeCell ref="A2:W2"/>
  </mergeCells>
  <dataValidations count="3">
    <dataValidation allowBlank="true" errorStyle="stop" operator="between" showDropDown="false" showErrorMessage="false" showInputMessage="false" sqref="D5:D54" type="list">
      <formula1>"一般,主任候補,主任,係長候補,係長"</formula1>
      <formula2>0</formula2>
    </dataValidation>
    <dataValidation allowBlank="true" errorStyle="stop" operator="between" showDropDown="false" showErrorMessage="false" showInputMessage="false" sqref="E5:E54" type="list">
      <formula1>"2026上期,2026下期,2027上期,2027下期"</formula1>
      <formula2>0</formula2>
    </dataValidation>
    <dataValidation allowBlank="true" errorStyle="stop" operator="between" showDropDown="false" showErrorMessage="false" showInputMessage="false" sqref="I5:M54" type="list">
      <formula1>"0,0.5,1,1.5,2,2.5,3"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8"/>
    <col collapsed="false" customWidth="true" hidden="false" outlineLevel="0" max="19" min="19" style="0" width="34"/>
  </cols>
  <sheetData>
    <row r="1" customFormat="false" ht="23.85" hidden="false" customHeight="fals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true" outlineLevel="0" collapsed="false">
      <c r="A2" s="10" t="s">
        <v>77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44" hidden="false" customHeight="false" outlineLevel="0" collapsed="false">
      <c r="A4" s="11" t="s">
        <v>78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79</v>
      </c>
      <c r="G4" s="11" t="s">
        <v>80</v>
      </c>
      <c r="H4" s="11" t="s">
        <v>81</v>
      </c>
      <c r="I4" s="11" t="s">
        <v>82</v>
      </c>
      <c r="J4" s="11" t="s">
        <v>83</v>
      </c>
      <c r="K4" s="11" t="s">
        <v>56</v>
      </c>
      <c r="L4" s="11" t="s">
        <v>84</v>
      </c>
      <c r="M4" s="11" t="s">
        <v>57</v>
      </c>
      <c r="N4" s="11" t="s">
        <v>58</v>
      </c>
      <c r="O4" s="11" t="s">
        <v>59</v>
      </c>
      <c r="P4" s="11" t="s">
        <v>60</v>
      </c>
      <c r="Q4" s="11" t="s">
        <v>61</v>
      </c>
      <c r="R4" s="11" t="s">
        <v>62</v>
      </c>
      <c r="S4" s="11" t="s">
        <v>63</v>
      </c>
    </row>
    <row r="5" customFormat="false" ht="15" hidden="false" customHeight="false" outlineLevel="0" collapsed="false">
      <c r="A5" s="12" t="s">
        <v>85</v>
      </c>
      <c r="B5" s="13" t="s">
        <v>86</v>
      </c>
      <c r="C5" s="13" t="s">
        <v>87</v>
      </c>
      <c r="D5" s="13" t="s">
        <v>88</v>
      </c>
      <c r="E5" s="12" t="s">
        <v>68</v>
      </c>
      <c r="F5" s="13" t="n">
        <v>34</v>
      </c>
      <c r="G5" s="13" t="n">
        <v>20</v>
      </c>
      <c r="H5" s="13" t="n">
        <v>20</v>
      </c>
      <c r="I5" s="13" t="n">
        <v>8</v>
      </c>
      <c r="J5" s="14" t="n">
        <f aca="false">IF(A5="","",SUM(F5:I5))</f>
        <v>82</v>
      </c>
      <c r="K5" s="14" t="str">
        <f aca="false">IF(A5="","",IF(J5&gt;=90,"S",IF(J5&gt;=80,"A",IF(J5&gt;=65,"B",IF(J5&gt;=50,"C","D")))))</f>
        <v>A</v>
      </c>
      <c r="L5" s="14" t="n">
        <f aca="false">IF(A5="","",SUM(H5:I5))</f>
        <v>28</v>
      </c>
      <c r="M5" s="14" t="str">
        <f aca="false">IF(A5="","",IF(L5&gt;=32,"S",IF(L5&gt;=28,"A",IF(L5&gt;=22,"B",IF(L5&gt;=16,"C","D")))))</f>
        <v>A</v>
      </c>
      <c r="N5" s="14" t="str">
        <f aca="false">IF(A5="","",VLOOKUP(K5,マスタ!$A$4:$C$8,2,FALSE()))</f>
        <v>標準より高め</v>
      </c>
      <c r="O5" s="14" t="n">
        <f aca="false">IF(A5="","",VLOOKUP(K5,マスタ!$A$4:$C$8,3,FALSE()))</f>
        <v>1.1</v>
      </c>
      <c r="P5" s="14" t="n">
        <f aca="false">IF(A5="","",VLOOKUP(M5,マスタ!$E$4:$G$8,2,FALSE()))</f>
        <v>1.05</v>
      </c>
      <c r="Q5" s="14" t="n">
        <f aca="false">IF(A5="","",ROUND(O5*P5,3))</f>
        <v>1.155</v>
      </c>
      <c r="R5" s="14" t="str">
        <f aca="false">IF(A5="","",IF(AND(J5&gt;=90,L5&gt;=32),"積極的に昇格候補",IF(AND(J5&gt;=80,L5&gt;=28),"昇格候補",IF(AND(J5&gt;=65,L5&gt;=22),"通常","要育成"))))</f>
        <v>昇格候補</v>
      </c>
      <c r="S5" s="14" t="str">
        <f aca="false">IF(A5="","",IF(L5&lt;16,"部門グリーンKPIの改善計画を設定",IF(I5&lt;7,"部下を巻き込む改善活動を強化","横展開・次期目標を検討")))</f>
        <v>横展開・次期目標を検討</v>
      </c>
    </row>
    <row r="6" customFormat="false" ht="15" hidden="false" customHeight="false" outlineLevel="0" collapsed="false">
      <c r="A6" s="12" t="s">
        <v>89</v>
      </c>
      <c r="B6" s="13" t="s">
        <v>90</v>
      </c>
      <c r="C6" s="13" t="s">
        <v>71</v>
      </c>
      <c r="D6" s="13" t="s">
        <v>91</v>
      </c>
      <c r="E6" s="12" t="s">
        <v>68</v>
      </c>
      <c r="F6" s="13" t="n">
        <v>36</v>
      </c>
      <c r="G6" s="13" t="n">
        <v>22</v>
      </c>
      <c r="H6" s="13" t="n">
        <v>23</v>
      </c>
      <c r="I6" s="13" t="n">
        <v>9</v>
      </c>
      <c r="J6" s="14" t="n">
        <f aca="false">IF(A6="","",SUM(F6:I6))</f>
        <v>90</v>
      </c>
      <c r="K6" s="14" t="str">
        <f aca="false">IF(A6="","",IF(J6&gt;=90,"S",IF(J6&gt;=80,"A",IF(J6&gt;=65,"B",IF(J6&gt;=50,"C","D")))))</f>
        <v>S</v>
      </c>
      <c r="L6" s="14" t="n">
        <f aca="false">IF(A6="","",SUM(H6:I6))</f>
        <v>32</v>
      </c>
      <c r="M6" s="14" t="str">
        <f aca="false">IF(A6="","",IF(L6&gt;=32,"S",IF(L6&gt;=28,"A",IF(L6&gt;=22,"B",IF(L6&gt;=16,"C","D")))))</f>
        <v>S</v>
      </c>
      <c r="N6" s="14" t="str">
        <f aca="false">IF(A6="","",VLOOKUP(K6,マスタ!$A$4:$C$8,2,FALSE()))</f>
        <v>標準昇給＋上乗せ</v>
      </c>
      <c r="O6" s="14" t="n">
        <f aca="false">IF(A6="","",VLOOKUP(K6,マスタ!$A$4:$C$8,3,FALSE()))</f>
        <v>1.2</v>
      </c>
      <c r="P6" s="14" t="n">
        <f aca="false">IF(A6="","",VLOOKUP(M6,マスタ!$E$4:$G$8,2,FALSE()))</f>
        <v>1.1</v>
      </c>
      <c r="Q6" s="14" t="n">
        <f aca="false">IF(A6="","",ROUND(O6*P6,3))</f>
        <v>1.32</v>
      </c>
      <c r="R6" s="14" t="str">
        <f aca="false">IF(A6="","",IF(AND(J6&gt;=90,L6&gt;=32),"積極的に昇格候補",IF(AND(J6&gt;=80,L6&gt;=28),"昇格候補",IF(AND(J6&gt;=65,L6&gt;=22),"通常","要育成"))))</f>
        <v>積極的に昇格候補</v>
      </c>
      <c r="S6" s="14" t="str">
        <f aca="false">IF(A6="","",IF(L6&lt;16,"部門グリーンKPIの改善計画を設定",IF(I6&lt;7,"部下を巻き込む改善活動を強化","横展開・次期目標を検討")))</f>
        <v>横展開・次期目標を検討</v>
      </c>
    </row>
    <row r="7" customFormat="false" ht="15" hidden="false" customHeight="false" outlineLevel="0" collapsed="false">
      <c r="J7" s="14" t="str">
        <f aca="false">IF(A7="","",SUM(F7:I7))</f>
        <v/>
      </c>
      <c r="K7" s="14" t="str">
        <f aca="false">IF(A7="","",IF(J7&gt;=90,"S",IF(J7&gt;=80,"A",IF(J7&gt;=65,"B",IF(J7&gt;=50,"C","D")))))</f>
        <v/>
      </c>
      <c r="L7" s="14" t="str">
        <f aca="false">IF(A7="","",SUM(H7:I7))</f>
        <v/>
      </c>
      <c r="M7" s="14" t="str">
        <f aca="false">IF(A7="","",IF(L7&gt;=32,"S",IF(L7&gt;=28,"A",IF(L7&gt;=22,"B",IF(L7&gt;=16,"C","D")))))</f>
        <v/>
      </c>
      <c r="N7" s="14" t="str">
        <f aca="false">IF(A7="","",VLOOKUP(K7,マスタ!$A$4:$C$8,2,FALSE()))</f>
        <v/>
      </c>
      <c r="O7" s="14" t="str">
        <f aca="false">IF(A7="","",VLOOKUP(K7,マスタ!$A$4:$C$8,3,FALSE()))</f>
        <v/>
      </c>
      <c r="P7" s="14" t="str">
        <f aca="false">IF(A7="","",VLOOKUP(M7,マスタ!$E$4:$G$8,2,FALSE()))</f>
        <v/>
      </c>
      <c r="Q7" s="14" t="str">
        <f aca="false">IF(A7="","",ROUND(O7*P7,3))</f>
        <v/>
      </c>
      <c r="R7" s="14" t="str">
        <f aca="false">IF(A7="","",IF(AND(J7&gt;=90,L7&gt;=32),"積極的に昇格候補",IF(AND(J7&gt;=80,L7&gt;=28),"昇格候補",IF(AND(J7&gt;=65,L7&gt;=22),"通常","要育成"))))</f>
        <v/>
      </c>
      <c r="S7" s="14" t="str">
        <f aca="false">IF(A7="","",IF(L7&lt;16,"部門グリーンKPIの改善計画を設定",IF(I7&lt;7,"部下を巻き込む改善活動を強化","横展開・次期目標を検討")))</f>
        <v/>
      </c>
    </row>
    <row r="8" customFormat="false" ht="15" hidden="false" customHeight="false" outlineLevel="0" collapsed="false">
      <c r="J8" s="14" t="str">
        <f aca="false">IF(A8="","",SUM(F8:I8))</f>
        <v/>
      </c>
      <c r="K8" s="14" t="str">
        <f aca="false">IF(A8="","",IF(J8&gt;=90,"S",IF(J8&gt;=80,"A",IF(J8&gt;=65,"B",IF(J8&gt;=50,"C","D")))))</f>
        <v/>
      </c>
      <c r="L8" s="14" t="str">
        <f aca="false">IF(A8="","",SUM(H8:I8))</f>
        <v/>
      </c>
      <c r="M8" s="14" t="str">
        <f aca="false">IF(A8="","",IF(L8&gt;=32,"S",IF(L8&gt;=28,"A",IF(L8&gt;=22,"B",IF(L8&gt;=16,"C","D")))))</f>
        <v/>
      </c>
      <c r="N8" s="14" t="str">
        <f aca="false">IF(A8="","",VLOOKUP(K8,マスタ!$A$4:$C$8,2,FALSE()))</f>
        <v/>
      </c>
      <c r="O8" s="14" t="str">
        <f aca="false">IF(A8="","",VLOOKUP(K8,マスタ!$A$4:$C$8,3,FALSE()))</f>
        <v/>
      </c>
      <c r="P8" s="14" t="str">
        <f aca="false">IF(A8="","",VLOOKUP(M8,マスタ!$E$4:$G$8,2,FALSE()))</f>
        <v/>
      </c>
      <c r="Q8" s="14" t="str">
        <f aca="false">IF(A8="","",ROUND(O8*P8,3))</f>
        <v/>
      </c>
      <c r="R8" s="14" t="str">
        <f aca="false">IF(A8="","",IF(AND(J8&gt;=90,L8&gt;=32),"積極的に昇格候補",IF(AND(J8&gt;=80,L8&gt;=28),"昇格候補",IF(AND(J8&gt;=65,L8&gt;=22),"通常","要育成"))))</f>
        <v/>
      </c>
      <c r="S8" s="14" t="str">
        <f aca="false">IF(A8="","",IF(L8&lt;16,"部門グリーンKPIの改善計画を設定",IF(I8&lt;7,"部下を巻き込む改善活動を強化","横展開・次期目標を検討")))</f>
        <v/>
      </c>
    </row>
    <row r="9" customFormat="false" ht="15" hidden="false" customHeight="false" outlineLevel="0" collapsed="false">
      <c r="J9" s="14" t="str">
        <f aca="false">IF(A9="","",SUM(F9:I9))</f>
        <v/>
      </c>
      <c r="K9" s="14" t="str">
        <f aca="false">IF(A9="","",IF(J9&gt;=90,"S",IF(J9&gt;=80,"A",IF(J9&gt;=65,"B",IF(J9&gt;=50,"C","D")))))</f>
        <v/>
      </c>
      <c r="L9" s="14" t="str">
        <f aca="false">IF(A9="","",SUM(H9:I9))</f>
        <v/>
      </c>
      <c r="M9" s="14" t="str">
        <f aca="false">IF(A9="","",IF(L9&gt;=32,"S",IF(L9&gt;=28,"A",IF(L9&gt;=22,"B",IF(L9&gt;=16,"C","D")))))</f>
        <v/>
      </c>
      <c r="N9" s="14" t="str">
        <f aca="false">IF(A9="","",VLOOKUP(K9,マスタ!$A$4:$C$8,2,FALSE()))</f>
        <v/>
      </c>
      <c r="O9" s="14" t="str">
        <f aca="false">IF(A9="","",VLOOKUP(K9,マスタ!$A$4:$C$8,3,FALSE()))</f>
        <v/>
      </c>
      <c r="P9" s="14" t="str">
        <f aca="false">IF(A9="","",VLOOKUP(M9,マスタ!$E$4:$G$8,2,FALSE()))</f>
        <v/>
      </c>
      <c r="Q9" s="14" t="str">
        <f aca="false">IF(A9="","",ROUND(O9*P9,3))</f>
        <v/>
      </c>
      <c r="R9" s="14" t="str">
        <f aca="false">IF(A9="","",IF(AND(J9&gt;=90,L9&gt;=32),"積極的に昇格候補",IF(AND(J9&gt;=80,L9&gt;=28),"昇格候補",IF(AND(J9&gt;=65,L9&gt;=22),"通常","要育成"))))</f>
        <v/>
      </c>
      <c r="S9" s="14" t="str">
        <f aca="false">IF(A9="","",IF(L9&lt;16,"部門グリーンKPIの改善計画を設定",IF(I9&lt;7,"部下を巻き込む改善活動を強化","横展開・次期目標を検討")))</f>
        <v/>
      </c>
    </row>
    <row r="10" customFormat="false" ht="15" hidden="false" customHeight="false" outlineLevel="0" collapsed="false">
      <c r="J10" s="14" t="str">
        <f aca="false">IF(A10="","",SUM(F10:I10))</f>
        <v/>
      </c>
      <c r="K10" s="14" t="str">
        <f aca="false">IF(A10="","",IF(J10&gt;=90,"S",IF(J10&gt;=80,"A",IF(J10&gt;=65,"B",IF(J10&gt;=50,"C","D")))))</f>
        <v/>
      </c>
      <c r="L10" s="14" t="str">
        <f aca="false">IF(A10="","",SUM(H10:I10))</f>
        <v/>
      </c>
      <c r="M10" s="14" t="str">
        <f aca="false">IF(A10="","",IF(L10&gt;=32,"S",IF(L10&gt;=28,"A",IF(L10&gt;=22,"B",IF(L10&gt;=16,"C","D")))))</f>
        <v/>
      </c>
      <c r="N10" s="14" t="str">
        <f aca="false">IF(A10="","",VLOOKUP(K10,マスタ!$A$4:$C$8,2,FALSE()))</f>
        <v/>
      </c>
      <c r="O10" s="14" t="str">
        <f aca="false">IF(A10="","",VLOOKUP(K10,マスタ!$A$4:$C$8,3,FALSE()))</f>
        <v/>
      </c>
      <c r="P10" s="14" t="str">
        <f aca="false">IF(A10="","",VLOOKUP(M10,マスタ!$E$4:$G$8,2,FALSE()))</f>
        <v/>
      </c>
      <c r="Q10" s="14" t="str">
        <f aca="false">IF(A10="","",ROUND(O10*P10,3))</f>
        <v/>
      </c>
      <c r="R10" s="14" t="str">
        <f aca="false">IF(A10="","",IF(AND(J10&gt;=90,L10&gt;=32),"積極的に昇格候補",IF(AND(J10&gt;=80,L10&gt;=28),"昇格候補",IF(AND(J10&gt;=65,L10&gt;=22),"通常","要育成"))))</f>
        <v/>
      </c>
      <c r="S10" s="14" t="str">
        <f aca="false">IF(A10="","",IF(L10&lt;16,"部門グリーンKPIの改善計画を設定",IF(I10&lt;7,"部下を巻き込む改善活動を強化","横展開・次期目標を検討")))</f>
        <v/>
      </c>
    </row>
    <row r="11" customFormat="false" ht="15" hidden="false" customHeight="false" outlineLevel="0" collapsed="false">
      <c r="J11" s="14" t="str">
        <f aca="false">IF(A11="","",SUM(F11:I11))</f>
        <v/>
      </c>
      <c r="K11" s="14" t="str">
        <f aca="false">IF(A11="","",IF(J11&gt;=90,"S",IF(J11&gt;=80,"A",IF(J11&gt;=65,"B",IF(J11&gt;=50,"C","D")))))</f>
        <v/>
      </c>
      <c r="L11" s="14" t="str">
        <f aca="false">IF(A11="","",SUM(H11:I11))</f>
        <v/>
      </c>
      <c r="M11" s="14" t="str">
        <f aca="false">IF(A11="","",IF(L11&gt;=32,"S",IF(L11&gt;=28,"A",IF(L11&gt;=22,"B",IF(L11&gt;=16,"C","D")))))</f>
        <v/>
      </c>
      <c r="N11" s="14" t="str">
        <f aca="false">IF(A11="","",VLOOKUP(K11,マスタ!$A$4:$C$8,2,FALSE()))</f>
        <v/>
      </c>
      <c r="O11" s="14" t="str">
        <f aca="false">IF(A11="","",VLOOKUP(K11,マスタ!$A$4:$C$8,3,FALSE()))</f>
        <v/>
      </c>
      <c r="P11" s="14" t="str">
        <f aca="false">IF(A11="","",VLOOKUP(M11,マスタ!$E$4:$G$8,2,FALSE()))</f>
        <v/>
      </c>
      <c r="Q11" s="14" t="str">
        <f aca="false">IF(A11="","",ROUND(O11*P11,3))</f>
        <v/>
      </c>
      <c r="R11" s="14" t="str">
        <f aca="false">IF(A11="","",IF(AND(J11&gt;=90,L11&gt;=32),"積極的に昇格候補",IF(AND(J11&gt;=80,L11&gt;=28),"昇格候補",IF(AND(J11&gt;=65,L11&gt;=22),"通常","要育成"))))</f>
        <v/>
      </c>
      <c r="S11" s="14" t="str">
        <f aca="false">IF(A11="","",IF(L11&lt;16,"部門グリーンKPIの改善計画を設定",IF(I11&lt;7,"部下を巻き込む改善活動を強化","横展開・次期目標を検討")))</f>
        <v/>
      </c>
    </row>
    <row r="12" customFormat="false" ht="15" hidden="false" customHeight="false" outlineLevel="0" collapsed="false">
      <c r="J12" s="14" t="str">
        <f aca="false">IF(A12="","",SUM(F12:I12))</f>
        <v/>
      </c>
      <c r="K12" s="14" t="str">
        <f aca="false">IF(A12="","",IF(J12&gt;=90,"S",IF(J12&gt;=80,"A",IF(J12&gt;=65,"B",IF(J12&gt;=50,"C","D")))))</f>
        <v/>
      </c>
      <c r="L12" s="14" t="str">
        <f aca="false">IF(A12="","",SUM(H12:I12))</f>
        <v/>
      </c>
      <c r="M12" s="14" t="str">
        <f aca="false">IF(A12="","",IF(L12&gt;=32,"S",IF(L12&gt;=28,"A",IF(L12&gt;=22,"B",IF(L12&gt;=16,"C","D")))))</f>
        <v/>
      </c>
      <c r="N12" s="14" t="str">
        <f aca="false">IF(A12="","",VLOOKUP(K12,マスタ!$A$4:$C$8,2,FALSE()))</f>
        <v/>
      </c>
      <c r="O12" s="14" t="str">
        <f aca="false">IF(A12="","",VLOOKUP(K12,マスタ!$A$4:$C$8,3,FALSE()))</f>
        <v/>
      </c>
      <c r="P12" s="14" t="str">
        <f aca="false">IF(A12="","",VLOOKUP(M12,マスタ!$E$4:$G$8,2,FALSE()))</f>
        <v/>
      </c>
      <c r="Q12" s="14" t="str">
        <f aca="false">IF(A12="","",ROUND(O12*P12,3))</f>
        <v/>
      </c>
      <c r="R12" s="14" t="str">
        <f aca="false">IF(A12="","",IF(AND(J12&gt;=90,L12&gt;=32),"積極的に昇格候補",IF(AND(J12&gt;=80,L12&gt;=28),"昇格候補",IF(AND(J12&gt;=65,L12&gt;=22),"通常","要育成"))))</f>
        <v/>
      </c>
      <c r="S12" s="14" t="str">
        <f aca="false">IF(A12="","",IF(L12&lt;16,"部門グリーンKPIの改善計画を設定",IF(I12&lt;7,"部下を巻き込む改善活動を強化","横展開・次期目標を検討")))</f>
        <v/>
      </c>
    </row>
    <row r="13" customFormat="false" ht="15" hidden="false" customHeight="false" outlineLevel="0" collapsed="false">
      <c r="J13" s="14" t="str">
        <f aca="false">IF(A13="","",SUM(F13:I13))</f>
        <v/>
      </c>
      <c r="K13" s="14" t="str">
        <f aca="false">IF(A13="","",IF(J13&gt;=90,"S",IF(J13&gt;=80,"A",IF(J13&gt;=65,"B",IF(J13&gt;=50,"C","D")))))</f>
        <v/>
      </c>
      <c r="L13" s="14" t="str">
        <f aca="false">IF(A13="","",SUM(H13:I13))</f>
        <v/>
      </c>
      <c r="M13" s="14" t="str">
        <f aca="false">IF(A13="","",IF(L13&gt;=32,"S",IF(L13&gt;=28,"A",IF(L13&gt;=22,"B",IF(L13&gt;=16,"C","D")))))</f>
        <v/>
      </c>
      <c r="N13" s="14" t="str">
        <f aca="false">IF(A13="","",VLOOKUP(K13,マスタ!$A$4:$C$8,2,FALSE()))</f>
        <v/>
      </c>
      <c r="O13" s="14" t="str">
        <f aca="false">IF(A13="","",VLOOKUP(K13,マスタ!$A$4:$C$8,3,FALSE()))</f>
        <v/>
      </c>
      <c r="P13" s="14" t="str">
        <f aca="false">IF(A13="","",VLOOKUP(M13,マスタ!$E$4:$G$8,2,FALSE()))</f>
        <v/>
      </c>
      <c r="Q13" s="14" t="str">
        <f aca="false">IF(A13="","",ROUND(O13*P13,3))</f>
        <v/>
      </c>
      <c r="R13" s="14" t="str">
        <f aca="false">IF(A13="","",IF(AND(J13&gt;=90,L13&gt;=32),"積極的に昇格候補",IF(AND(J13&gt;=80,L13&gt;=28),"昇格候補",IF(AND(J13&gt;=65,L13&gt;=22),"通常","要育成"))))</f>
        <v/>
      </c>
      <c r="S13" s="14" t="str">
        <f aca="false">IF(A13="","",IF(L13&lt;16,"部門グリーンKPIの改善計画を設定",IF(I13&lt;7,"部下を巻き込む改善活動を強化","横展開・次期目標を検討")))</f>
        <v/>
      </c>
    </row>
    <row r="14" customFormat="false" ht="15" hidden="false" customHeight="false" outlineLevel="0" collapsed="false">
      <c r="J14" s="14" t="str">
        <f aca="false">IF(A14="","",SUM(F14:I14))</f>
        <v/>
      </c>
      <c r="K14" s="14" t="str">
        <f aca="false">IF(A14="","",IF(J14&gt;=90,"S",IF(J14&gt;=80,"A",IF(J14&gt;=65,"B",IF(J14&gt;=50,"C","D")))))</f>
        <v/>
      </c>
      <c r="L14" s="14" t="str">
        <f aca="false">IF(A14="","",SUM(H14:I14))</f>
        <v/>
      </c>
      <c r="M14" s="14" t="str">
        <f aca="false">IF(A14="","",IF(L14&gt;=32,"S",IF(L14&gt;=28,"A",IF(L14&gt;=22,"B",IF(L14&gt;=16,"C","D")))))</f>
        <v/>
      </c>
      <c r="N14" s="14" t="str">
        <f aca="false">IF(A14="","",VLOOKUP(K14,マスタ!$A$4:$C$8,2,FALSE()))</f>
        <v/>
      </c>
      <c r="O14" s="14" t="str">
        <f aca="false">IF(A14="","",VLOOKUP(K14,マスタ!$A$4:$C$8,3,FALSE()))</f>
        <v/>
      </c>
      <c r="P14" s="14" t="str">
        <f aca="false">IF(A14="","",VLOOKUP(M14,マスタ!$E$4:$G$8,2,FALSE()))</f>
        <v/>
      </c>
      <c r="Q14" s="14" t="str">
        <f aca="false">IF(A14="","",ROUND(O14*P14,3))</f>
        <v/>
      </c>
      <c r="R14" s="14" t="str">
        <f aca="false">IF(A14="","",IF(AND(J14&gt;=90,L14&gt;=32),"積極的に昇格候補",IF(AND(J14&gt;=80,L14&gt;=28),"昇格候補",IF(AND(J14&gt;=65,L14&gt;=22),"通常","要育成"))))</f>
        <v/>
      </c>
      <c r="S14" s="14" t="str">
        <f aca="false">IF(A14="","",IF(L14&lt;16,"部門グリーンKPIの改善計画を設定",IF(I14&lt;7,"部下を巻き込む改善活動を強化","横展開・次期目標を検討")))</f>
        <v/>
      </c>
    </row>
    <row r="15" customFormat="false" ht="15" hidden="false" customHeight="false" outlineLevel="0" collapsed="false">
      <c r="J15" s="14" t="str">
        <f aca="false">IF(A15="","",SUM(F15:I15))</f>
        <v/>
      </c>
      <c r="K15" s="14" t="str">
        <f aca="false">IF(A15="","",IF(J15&gt;=90,"S",IF(J15&gt;=80,"A",IF(J15&gt;=65,"B",IF(J15&gt;=50,"C","D")))))</f>
        <v/>
      </c>
      <c r="L15" s="14" t="str">
        <f aca="false">IF(A15="","",SUM(H15:I15))</f>
        <v/>
      </c>
      <c r="M15" s="14" t="str">
        <f aca="false">IF(A15="","",IF(L15&gt;=32,"S",IF(L15&gt;=28,"A",IF(L15&gt;=22,"B",IF(L15&gt;=16,"C","D")))))</f>
        <v/>
      </c>
      <c r="N15" s="14" t="str">
        <f aca="false">IF(A15="","",VLOOKUP(K15,マスタ!$A$4:$C$8,2,FALSE()))</f>
        <v/>
      </c>
      <c r="O15" s="14" t="str">
        <f aca="false">IF(A15="","",VLOOKUP(K15,マスタ!$A$4:$C$8,3,FALSE()))</f>
        <v/>
      </c>
      <c r="P15" s="14" t="str">
        <f aca="false">IF(A15="","",VLOOKUP(M15,マスタ!$E$4:$G$8,2,FALSE()))</f>
        <v/>
      </c>
      <c r="Q15" s="14" t="str">
        <f aca="false">IF(A15="","",ROUND(O15*P15,3))</f>
        <v/>
      </c>
      <c r="R15" s="14" t="str">
        <f aca="false">IF(A15="","",IF(AND(J15&gt;=90,L15&gt;=32),"積極的に昇格候補",IF(AND(J15&gt;=80,L15&gt;=28),"昇格候補",IF(AND(J15&gt;=65,L15&gt;=22),"通常","要育成"))))</f>
        <v/>
      </c>
      <c r="S15" s="14" t="str">
        <f aca="false">IF(A15="","",IF(L15&lt;16,"部門グリーンKPIの改善計画を設定",IF(I15&lt;7,"部下を巻き込む改善活動を強化","横展開・次期目標を検討")))</f>
        <v/>
      </c>
    </row>
    <row r="16" customFormat="false" ht="15" hidden="false" customHeight="false" outlineLevel="0" collapsed="false">
      <c r="J16" s="14" t="str">
        <f aca="false">IF(A16="","",SUM(F16:I16))</f>
        <v/>
      </c>
      <c r="K16" s="14" t="str">
        <f aca="false">IF(A16="","",IF(J16&gt;=90,"S",IF(J16&gt;=80,"A",IF(J16&gt;=65,"B",IF(J16&gt;=50,"C","D")))))</f>
        <v/>
      </c>
      <c r="L16" s="14" t="str">
        <f aca="false">IF(A16="","",SUM(H16:I16))</f>
        <v/>
      </c>
      <c r="M16" s="14" t="str">
        <f aca="false">IF(A16="","",IF(L16&gt;=32,"S",IF(L16&gt;=28,"A",IF(L16&gt;=22,"B",IF(L16&gt;=16,"C","D")))))</f>
        <v/>
      </c>
      <c r="N16" s="14" t="str">
        <f aca="false">IF(A16="","",VLOOKUP(K16,マスタ!$A$4:$C$8,2,FALSE()))</f>
        <v/>
      </c>
      <c r="O16" s="14" t="str">
        <f aca="false">IF(A16="","",VLOOKUP(K16,マスタ!$A$4:$C$8,3,FALSE()))</f>
        <v/>
      </c>
      <c r="P16" s="14" t="str">
        <f aca="false">IF(A16="","",VLOOKUP(M16,マスタ!$E$4:$G$8,2,FALSE()))</f>
        <v/>
      </c>
      <c r="Q16" s="14" t="str">
        <f aca="false">IF(A16="","",ROUND(O16*P16,3))</f>
        <v/>
      </c>
      <c r="R16" s="14" t="str">
        <f aca="false">IF(A16="","",IF(AND(J16&gt;=90,L16&gt;=32),"積極的に昇格候補",IF(AND(J16&gt;=80,L16&gt;=28),"昇格候補",IF(AND(J16&gt;=65,L16&gt;=22),"通常","要育成"))))</f>
        <v/>
      </c>
      <c r="S16" s="14" t="str">
        <f aca="false">IF(A16="","",IF(L16&lt;16,"部門グリーンKPIの改善計画を設定",IF(I16&lt;7,"部下を巻き込む改善活動を強化","横展開・次期目標を検討")))</f>
        <v/>
      </c>
    </row>
    <row r="17" customFormat="false" ht="15" hidden="false" customHeight="false" outlineLevel="0" collapsed="false">
      <c r="J17" s="14" t="str">
        <f aca="false">IF(A17="","",SUM(F17:I17))</f>
        <v/>
      </c>
      <c r="K17" s="14" t="str">
        <f aca="false">IF(A17="","",IF(J17&gt;=90,"S",IF(J17&gt;=80,"A",IF(J17&gt;=65,"B",IF(J17&gt;=50,"C","D")))))</f>
        <v/>
      </c>
      <c r="L17" s="14" t="str">
        <f aca="false">IF(A17="","",SUM(H17:I17))</f>
        <v/>
      </c>
      <c r="M17" s="14" t="str">
        <f aca="false">IF(A17="","",IF(L17&gt;=32,"S",IF(L17&gt;=28,"A",IF(L17&gt;=22,"B",IF(L17&gt;=16,"C","D")))))</f>
        <v/>
      </c>
      <c r="N17" s="14" t="str">
        <f aca="false">IF(A17="","",VLOOKUP(K17,マスタ!$A$4:$C$8,2,FALSE()))</f>
        <v/>
      </c>
      <c r="O17" s="14" t="str">
        <f aca="false">IF(A17="","",VLOOKUP(K17,マスタ!$A$4:$C$8,3,FALSE()))</f>
        <v/>
      </c>
      <c r="P17" s="14" t="str">
        <f aca="false">IF(A17="","",VLOOKUP(M17,マスタ!$E$4:$G$8,2,FALSE()))</f>
        <v/>
      </c>
      <c r="Q17" s="14" t="str">
        <f aca="false">IF(A17="","",ROUND(O17*P17,3))</f>
        <v/>
      </c>
      <c r="R17" s="14" t="str">
        <f aca="false">IF(A17="","",IF(AND(J17&gt;=90,L17&gt;=32),"積極的に昇格候補",IF(AND(J17&gt;=80,L17&gt;=28),"昇格候補",IF(AND(J17&gt;=65,L17&gt;=22),"通常","要育成"))))</f>
        <v/>
      </c>
      <c r="S17" s="14" t="str">
        <f aca="false">IF(A17="","",IF(L17&lt;16,"部門グリーンKPIの改善計画を設定",IF(I17&lt;7,"部下を巻き込む改善活動を強化","横展開・次期目標を検討")))</f>
        <v/>
      </c>
    </row>
    <row r="18" customFormat="false" ht="15" hidden="false" customHeight="false" outlineLevel="0" collapsed="false">
      <c r="J18" s="14" t="str">
        <f aca="false">IF(A18="","",SUM(F18:I18))</f>
        <v/>
      </c>
      <c r="K18" s="14" t="str">
        <f aca="false">IF(A18="","",IF(J18&gt;=90,"S",IF(J18&gt;=80,"A",IF(J18&gt;=65,"B",IF(J18&gt;=50,"C","D")))))</f>
        <v/>
      </c>
      <c r="L18" s="14" t="str">
        <f aca="false">IF(A18="","",SUM(H18:I18))</f>
        <v/>
      </c>
      <c r="M18" s="14" t="str">
        <f aca="false">IF(A18="","",IF(L18&gt;=32,"S",IF(L18&gt;=28,"A",IF(L18&gt;=22,"B",IF(L18&gt;=16,"C","D")))))</f>
        <v/>
      </c>
      <c r="N18" s="14" t="str">
        <f aca="false">IF(A18="","",VLOOKUP(K18,マスタ!$A$4:$C$8,2,FALSE()))</f>
        <v/>
      </c>
      <c r="O18" s="14" t="str">
        <f aca="false">IF(A18="","",VLOOKUP(K18,マスタ!$A$4:$C$8,3,FALSE()))</f>
        <v/>
      </c>
      <c r="P18" s="14" t="str">
        <f aca="false">IF(A18="","",VLOOKUP(M18,マスタ!$E$4:$G$8,2,FALSE()))</f>
        <v/>
      </c>
      <c r="Q18" s="14" t="str">
        <f aca="false">IF(A18="","",ROUND(O18*P18,3))</f>
        <v/>
      </c>
      <c r="R18" s="14" t="str">
        <f aca="false">IF(A18="","",IF(AND(J18&gt;=90,L18&gt;=32),"積極的に昇格候補",IF(AND(J18&gt;=80,L18&gt;=28),"昇格候補",IF(AND(J18&gt;=65,L18&gt;=22),"通常","要育成"))))</f>
        <v/>
      </c>
      <c r="S18" s="14" t="str">
        <f aca="false">IF(A18="","",IF(L18&lt;16,"部門グリーンKPIの改善計画を設定",IF(I18&lt;7,"部下を巻き込む改善活動を強化","横展開・次期目標を検討")))</f>
        <v/>
      </c>
    </row>
    <row r="19" customFormat="false" ht="15" hidden="false" customHeight="false" outlineLevel="0" collapsed="false">
      <c r="J19" s="14" t="str">
        <f aca="false">IF(A19="","",SUM(F19:I19))</f>
        <v/>
      </c>
      <c r="K19" s="14" t="str">
        <f aca="false">IF(A19="","",IF(J19&gt;=90,"S",IF(J19&gt;=80,"A",IF(J19&gt;=65,"B",IF(J19&gt;=50,"C","D")))))</f>
        <v/>
      </c>
      <c r="L19" s="14" t="str">
        <f aca="false">IF(A19="","",SUM(H19:I19))</f>
        <v/>
      </c>
      <c r="M19" s="14" t="str">
        <f aca="false">IF(A19="","",IF(L19&gt;=32,"S",IF(L19&gt;=28,"A",IF(L19&gt;=22,"B",IF(L19&gt;=16,"C","D")))))</f>
        <v/>
      </c>
      <c r="N19" s="14" t="str">
        <f aca="false">IF(A19="","",VLOOKUP(K19,マスタ!$A$4:$C$8,2,FALSE()))</f>
        <v/>
      </c>
      <c r="O19" s="14" t="str">
        <f aca="false">IF(A19="","",VLOOKUP(K19,マスタ!$A$4:$C$8,3,FALSE()))</f>
        <v/>
      </c>
      <c r="P19" s="14" t="str">
        <f aca="false">IF(A19="","",VLOOKUP(M19,マスタ!$E$4:$G$8,2,FALSE()))</f>
        <v/>
      </c>
      <c r="Q19" s="14" t="str">
        <f aca="false">IF(A19="","",ROUND(O19*P19,3))</f>
        <v/>
      </c>
      <c r="R19" s="14" t="str">
        <f aca="false">IF(A19="","",IF(AND(J19&gt;=90,L19&gt;=32),"積極的に昇格候補",IF(AND(J19&gt;=80,L19&gt;=28),"昇格候補",IF(AND(J19&gt;=65,L19&gt;=22),"通常","要育成"))))</f>
        <v/>
      </c>
      <c r="S19" s="14" t="str">
        <f aca="false">IF(A19="","",IF(L19&lt;16,"部門グリーンKPIの改善計画を設定",IF(I19&lt;7,"部下を巻き込む改善活動を強化","横展開・次期目標を検討")))</f>
        <v/>
      </c>
    </row>
    <row r="20" customFormat="false" ht="15" hidden="false" customHeight="false" outlineLevel="0" collapsed="false">
      <c r="J20" s="14" t="str">
        <f aca="false">IF(A20="","",SUM(F20:I20))</f>
        <v/>
      </c>
      <c r="K20" s="14" t="str">
        <f aca="false">IF(A20="","",IF(J20&gt;=90,"S",IF(J20&gt;=80,"A",IF(J20&gt;=65,"B",IF(J20&gt;=50,"C","D")))))</f>
        <v/>
      </c>
      <c r="L20" s="14" t="str">
        <f aca="false">IF(A20="","",SUM(H20:I20))</f>
        <v/>
      </c>
      <c r="M20" s="14" t="str">
        <f aca="false">IF(A20="","",IF(L20&gt;=32,"S",IF(L20&gt;=28,"A",IF(L20&gt;=22,"B",IF(L20&gt;=16,"C","D")))))</f>
        <v/>
      </c>
      <c r="N20" s="14" t="str">
        <f aca="false">IF(A20="","",VLOOKUP(K20,マスタ!$A$4:$C$8,2,FALSE()))</f>
        <v/>
      </c>
      <c r="O20" s="14" t="str">
        <f aca="false">IF(A20="","",VLOOKUP(K20,マスタ!$A$4:$C$8,3,FALSE()))</f>
        <v/>
      </c>
      <c r="P20" s="14" t="str">
        <f aca="false">IF(A20="","",VLOOKUP(M20,マスタ!$E$4:$G$8,2,FALSE()))</f>
        <v/>
      </c>
      <c r="Q20" s="14" t="str">
        <f aca="false">IF(A20="","",ROUND(O20*P20,3))</f>
        <v/>
      </c>
      <c r="R20" s="14" t="str">
        <f aca="false">IF(A20="","",IF(AND(J20&gt;=90,L20&gt;=32),"積極的に昇格候補",IF(AND(J20&gt;=80,L20&gt;=28),"昇格候補",IF(AND(J20&gt;=65,L20&gt;=22),"通常","要育成"))))</f>
        <v/>
      </c>
      <c r="S20" s="14" t="str">
        <f aca="false">IF(A20="","",IF(L20&lt;16,"部門グリーンKPIの改善計画を設定",IF(I20&lt;7,"部下を巻き込む改善活動を強化","横展開・次期目標を検討")))</f>
        <v/>
      </c>
    </row>
    <row r="21" customFormat="false" ht="15" hidden="false" customHeight="false" outlineLevel="0" collapsed="false">
      <c r="J21" s="14" t="str">
        <f aca="false">IF(A21="","",SUM(F21:I21))</f>
        <v/>
      </c>
      <c r="K21" s="14" t="str">
        <f aca="false">IF(A21="","",IF(J21&gt;=90,"S",IF(J21&gt;=80,"A",IF(J21&gt;=65,"B",IF(J21&gt;=50,"C","D")))))</f>
        <v/>
      </c>
      <c r="L21" s="14" t="str">
        <f aca="false">IF(A21="","",SUM(H21:I21))</f>
        <v/>
      </c>
      <c r="M21" s="14" t="str">
        <f aca="false">IF(A21="","",IF(L21&gt;=32,"S",IF(L21&gt;=28,"A",IF(L21&gt;=22,"B",IF(L21&gt;=16,"C","D")))))</f>
        <v/>
      </c>
      <c r="N21" s="14" t="str">
        <f aca="false">IF(A21="","",VLOOKUP(K21,マスタ!$A$4:$C$8,2,FALSE()))</f>
        <v/>
      </c>
      <c r="O21" s="14" t="str">
        <f aca="false">IF(A21="","",VLOOKUP(K21,マスタ!$A$4:$C$8,3,FALSE()))</f>
        <v/>
      </c>
      <c r="P21" s="14" t="str">
        <f aca="false">IF(A21="","",VLOOKUP(M21,マスタ!$E$4:$G$8,2,FALSE()))</f>
        <v/>
      </c>
      <c r="Q21" s="14" t="str">
        <f aca="false">IF(A21="","",ROUND(O21*P21,3))</f>
        <v/>
      </c>
      <c r="R21" s="14" t="str">
        <f aca="false">IF(A21="","",IF(AND(J21&gt;=90,L21&gt;=32),"積極的に昇格候補",IF(AND(J21&gt;=80,L21&gt;=28),"昇格候補",IF(AND(J21&gt;=65,L21&gt;=22),"通常","要育成"))))</f>
        <v/>
      </c>
      <c r="S21" s="14" t="str">
        <f aca="false">IF(A21="","",IF(L21&lt;16,"部門グリーンKPIの改善計画を設定",IF(I21&lt;7,"部下を巻き込む改善活動を強化","横展開・次期目標を検討")))</f>
        <v/>
      </c>
    </row>
    <row r="22" customFormat="false" ht="15" hidden="false" customHeight="false" outlineLevel="0" collapsed="false">
      <c r="J22" s="14" t="str">
        <f aca="false">IF(A22="","",SUM(F22:I22))</f>
        <v/>
      </c>
      <c r="K22" s="14" t="str">
        <f aca="false">IF(A22="","",IF(J22&gt;=90,"S",IF(J22&gt;=80,"A",IF(J22&gt;=65,"B",IF(J22&gt;=50,"C","D")))))</f>
        <v/>
      </c>
      <c r="L22" s="14" t="str">
        <f aca="false">IF(A22="","",SUM(H22:I22))</f>
        <v/>
      </c>
      <c r="M22" s="14" t="str">
        <f aca="false">IF(A22="","",IF(L22&gt;=32,"S",IF(L22&gt;=28,"A",IF(L22&gt;=22,"B",IF(L22&gt;=16,"C","D")))))</f>
        <v/>
      </c>
      <c r="N22" s="14" t="str">
        <f aca="false">IF(A22="","",VLOOKUP(K22,マスタ!$A$4:$C$8,2,FALSE()))</f>
        <v/>
      </c>
      <c r="O22" s="14" t="str">
        <f aca="false">IF(A22="","",VLOOKUP(K22,マスタ!$A$4:$C$8,3,FALSE()))</f>
        <v/>
      </c>
      <c r="P22" s="14" t="str">
        <f aca="false">IF(A22="","",VLOOKUP(M22,マスタ!$E$4:$G$8,2,FALSE()))</f>
        <v/>
      </c>
      <c r="Q22" s="14" t="str">
        <f aca="false">IF(A22="","",ROUND(O22*P22,3))</f>
        <v/>
      </c>
      <c r="R22" s="14" t="str">
        <f aca="false">IF(A22="","",IF(AND(J22&gt;=90,L22&gt;=32),"積極的に昇格候補",IF(AND(J22&gt;=80,L22&gt;=28),"昇格候補",IF(AND(J22&gt;=65,L22&gt;=22),"通常","要育成"))))</f>
        <v/>
      </c>
      <c r="S22" s="14" t="str">
        <f aca="false">IF(A22="","",IF(L22&lt;16,"部門グリーンKPIの改善計画を設定",IF(I22&lt;7,"部下を巻き込む改善活動を強化","横展開・次期目標を検討")))</f>
        <v/>
      </c>
    </row>
    <row r="23" customFormat="false" ht="15" hidden="false" customHeight="false" outlineLevel="0" collapsed="false">
      <c r="J23" s="14" t="str">
        <f aca="false">IF(A23="","",SUM(F23:I23))</f>
        <v/>
      </c>
      <c r="K23" s="14" t="str">
        <f aca="false">IF(A23="","",IF(J23&gt;=90,"S",IF(J23&gt;=80,"A",IF(J23&gt;=65,"B",IF(J23&gt;=50,"C","D")))))</f>
        <v/>
      </c>
      <c r="L23" s="14" t="str">
        <f aca="false">IF(A23="","",SUM(H23:I23))</f>
        <v/>
      </c>
      <c r="M23" s="14" t="str">
        <f aca="false">IF(A23="","",IF(L23&gt;=32,"S",IF(L23&gt;=28,"A",IF(L23&gt;=22,"B",IF(L23&gt;=16,"C","D")))))</f>
        <v/>
      </c>
      <c r="N23" s="14" t="str">
        <f aca="false">IF(A23="","",VLOOKUP(K23,マスタ!$A$4:$C$8,2,FALSE()))</f>
        <v/>
      </c>
      <c r="O23" s="14" t="str">
        <f aca="false">IF(A23="","",VLOOKUP(K23,マスタ!$A$4:$C$8,3,FALSE()))</f>
        <v/>
      </c>
      <c r="P23" s="14" t="str">
        <f aca="false">IF(A23="","",VLOOKUP(M23,マスタ!$E$4:$G$8,2,FALSE()))</f>
        <v/>
      </c>
      <c r="Q23" s="14" t="str">
        <f aca="false">IF(A23="","",ROUND(O23*P23,3))</f>
        <v/>
      </c>
      <c r="R23" s="14" t="str">
        <f aca="false">IF(A23="","",IF(AND(J23&gt;=90,L23&gt;=32),"積極的に昇格候補",IF(AND(J23&gt;=80,L23&gt;=28),"昇格候補",IF(AND(J23&gt;=65,L23&gt;=22),"通常","要育成"))))</f>
        <v/>
      </c>
      <c r="S23" s="14" t="str">
        <f aca="false">IF(A23="","",IF(L23&lt;16,"部門グリーンKPIの改善計画を設定",IF(I23&lt;7,"部下を巻き込む改善活動を強化","横展開・次期目標を検討")))</f>
        <v/>
      </c>
    </row>
    <row r="24" customFormat="false" ht="15" hidden="false" customHeight="false" outlineLevel="0" collapsed="false">
      <c r="J24" s="14" t="str">
        <f aca="false">IF(A24="","",SUM(F24:I24))</f>
        <v/>
      </c>
      <c r="K24" s="14" t="str">
        <f aca="false">IF(A24="","",IF(J24&gt;=90,"S",IF(J24&gt;=80,"A",IF(J24&gt;=65,"B",IF(J24&gt;=50,"C","D")))))</f>
        <v/>
      </c>
      <c r="L24" s="14" t="str">
        <f aca="false">IF(A24="","",SUM(H24:I24))</f>
        <v/>
      </c>
      <c r="M24" s="14" t="str">
        <f aca="false">IF(A24="","",IF(L24&gt;=32,"S",IF(L24&gt;=28,"A",IF(L24&gt;=22,"B",IF(L24&gt;=16,"C","D")))))</f>
        <v/>
      </c>
      <c r="N24" s="14" t="str">
        <f aca="false">IF(A24="","",VLOOKUP(K24,マスタ!$A$4:$C$8,2,FALSE()))</f>
        <v/>
      </c>
      <c r="O24" s="14" t="str">
        <f aca="false">IF(A24="","",VLOOKUP(K24,マスタ!$A$4:$C$8,3,FALSE()))</f>
        <v/>
      </c>
      <c r="P24" s="14" t="str">
        <f aca="false">IF(A24="","",VLOOKUP(M24,マスタ!$E$4:$G$8,2,FALSE()))</f>
        <v/>
      </c>
      <c r="Q24" s="14" t="str">
        <f aca="false">IF(A24="","",ROUND(O24*P24,3))</f>
        <v/>
      </c>
      <c r="R24" s="14" t="str">
        <f aca="false">IF(A24="","",IF(AND(J24&gt;=90,L24&gt;=32),"積極的に昇格候補",IF(AND(J24&gt;=80,L24&gt;=28),"昇格候補",IF(AND(J24&gt;=65,L24&gt;=22),"通常","要育成"))))</f>
        <v/>
      </c>
      <c r="S24" s="14" t="str">
        <f aca="false">IF(A24="","",IF(L24&lt;16,"部門グリーンKPIの改善計画を設定",IF(I24&lt;7,"部下を巻き込む改善活動を強化","横展開・次期目標を検討")))</f>
        <v/>
      </c>
    </row>
  </sheetData>
  <mergeCells count="2">
    <mergeCell ref="A1:S1"/>
    <mergeCell ref="A2:S2"/>
  </mergeCells>
  <dataValidations count="2">
    <dataValidation allowBlank="true" errorStyle="stop" operator="between" showDropDown="false" showErrorMessage="false" showInputMessage="false" sqref="D5:D24" type="list">
      <formula1>"係長,課長,部長,役員候補"</formula1>
      <formula2>0</formula2>
    </dataValidation>
    <dataValidation allowBlank="true" errorStyle="stop" operator="between" showDropDown="false" showErrorMessage="false" showInputMessage="false" sqref="E5:E24" type="list">
      <formula1>"2026上期,2026下期,2027上期,2027下期"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8" min="4" style="0" width="36"/>
  </cols>
  <sheetData>
    <row r="1" customFormat="false" ht="23.85" hidden="false" customHeight="fals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93</v>
      </c>
      <c r="B3" s="11" t="s">
        <v>94</v>
      </c>
      <c r="C3" s="11" t="s">
        <v>95</v>
      </c>
      <c r="D3" s="15" t="s">
        <v>96</v>
      </c>
      <c r="E3" s="15" t="s">
        <v>97</v>
      </c>
      <c r="F3" s="15" t="s">
        <v>98</v>
      </c>
      <c r="G3" s="15" t="s">
        <v>99</v>
      </c>
      <c r="H3" s="15" t="s">
        <v>100</v>
      </c>
    </row>
    <row r="4" customFormat="false" ht="29.85" hidden="false" customHeight="false" outlineLevel="0" collapsed="false">
      <c r="A4" s="16" t="s">
        <v>101</v>
      </c>
      <c r="B4" s="16" t="s">
        <v>102</v>
      </c>
      <c r="C4" s="16" t="n">
        <v>3</v>
      </c>
      <c r="D4" s="16" t="s">
        <v>103</v>
      </c>
      <c r="E4" s="16" t="s">
        <v>104</v>
      </c>
      <c r="F4" s="16" t="s">
        <v>105</v>
      </c>
      <c r="G4" s="16" t="s">
        <v>106</v>
      </c>
      <c r="H4" s="16" t="s">
        <v>107</v>
      </c>
    </row>
    <row r="5" customFormat="false" ht="15" hidden="false" customHeight="false" outlineLevel="0" collapsed="false">
      <c r="A5" s="16" t="s">
        <v>101</v>
      </c>
      <c r="B5" s="16" t="s">
        <v>108</v>
      </c>
      <c r="C5" s="16" t="n">
        <v>3</v>
      </c>
      <c r="D5" s="16" t="s">
        <v>109</v>
      </c>
      <c r="E5" s="16" t="s">
        <v>110</v>
      </c>
      <c r="F5" s="16" t="s">
        <v>111</v>
      </c>
      <c r="G5" s="16" t="s">
        <v>112</v>
      </c>
      <c r="H5" s="16" t="s">
        <v>113</v>
      </c>
    </row>
    <row r="6" customFormat="false" ht="29.85" hidden="false" customHeight="false" outlineLevel="0" collapsed="false">
      <c r="A6" s="16" t="s">
        <v>101</v>
      </c>
      <c r="B6" s="16" t="s">
        <v>114</v>
      </c>
      <c r="C6" s="16" t="n">
        <v>3</v>
      </c>
      <c r="D6" s="16" t="s">
        <v>115</v>
      </c>
      <c r="E6" s="16" t="s">
        <v>116</v>
      </c>
      <c r="F6" s="16" t="s">
        <v>117</v>
      </c>
      <c r="G6" s="16" t="s">
        <v>118</v>
      </c>
      <c r="H6" s="16" t="s">
        <v>119</v>
      </c>
    </row>
    <row r="7" customFormat="false" ht="29.85" hidden="false" customHeight="false" outlineLevel="0" collapsed="false">
      <c r="A7" s="16" t="s">
        <v>101</v>
      </c>
      <c r="B7" s="16" t="s">
        <v>120</v>
      </c>
      <c r="C7" s="16" t="n">
        <v>3</v>
      </c>
      <c r="D7" s="16" t="s">
        <v>121</v>
      </c>
      <c r="E7" s="16" t="s">
        <v>122</v>
      </c>
      <c r="F7" s="16" t="s">
        <v>123</v>
      </c>
      <c r="G7" s="16" t="s">
        <v>124</v>
      </c>
      <c r="H7" s="16" t="s">
        <v>125</v>
      </c>
    </row>
    <row r="8" customFormat="false" ht="15" hidden="false" customHeight="false" outlineLevel="0" collapsed="false">
      <c r="A8" s="16" t="s">
        <v>101</v>
      </c>
      <c r="B8" s="16" t="s">
        <v>126</v>
      </c>
      <c r="C8" s="16" t="n">
        <v>3</v>
      </c>
      <c r="D8" s="16" t="s">
        <v>127</v>
      </c>
      <c r="E8" s="16" t="s">
        <v>128</v>
      </c>
      <c r="F8" s="16" t="s">
        <v>129</v>
      </c>
      <c r="G8" s="16" t="s">
        <v>130</v>
      </c>
      <c r="H8" s="16" t="s">
        <v>131</v>
      </c>
    </row>
    <row r="9" customFormat="false" ht="29.85" hidden="false" customHeight="false" outlineLevel="0" collapsed="false">
      <c r="A9" s="16" t="s">
        <v>132</v>
      </c>
      <c r="B9" s="16" t="s">
        <v>133</v>
      </c>
      <c r="C9" s="16" t="n">
        <v>25</v>
      </c>
      <c r="D9" s="16" t="s">
        <v>134</v>
      </c>
      <c r="E9" s="16" t="s">
        <v>135</v>
      </c>
      <c r="F9" s="16" t="s">
        <v>136</v>
      </c>
      <c r="G9" s="16" t="s">
        <v>137</v>
      </c>
      <c r="H9" s="16" t="s">
        <v>138</v>
      </c>
    </row>
    <row r="10" customFormat="false" ht="29.85" hidden="false" customHeight="false" outlineLevel="0" collapsed="false">
      <c r="A10" s="16" t="s">
        <v>132</v>
      </c>
      <c r="B10" s="16" t="s">
        <v>139</v>
      </c>
      <c r="C10" s="16" t="n">
        <v>10</v>
      </c>
      <c r="D10" s="16" t="s">
        <v>140</v>
      </c>
      <c r="E10" s="16" t="s">
        <v>141</v>
      </c>
      <c r="F10" s="16" t="s">
        <v>142</v>
      </c>
      <c r="G10" s="16" t="s">
        <v>143</v>
      </c>
      <c r="H10" s="16" t="s">
        <v>144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145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7" t="s">
        <v>56</v>
      </c>
      <c r="B3" s="17" t="s">
        <v>146</v>
      </c>
      <c r="C3" s="17" t="s">
        <v>59</v>
      </c>
      <c r="E3" s="17" t="s">
        <v>57</v>
      </c>
      <c r="F3" s="17" t="s">
        <v>147</v>
      </c>
      <c r="G3" s="17" t="s">
        <v>148</v>
      </c>
    </row>
    <row r="4" customFormat="false" ht="15" hidden="false" customHeight="false" outlineLevel="0" collapsed="false">
      <c r="A4" s="5" t="s">
        <v>149</v>
      </c>
      <c r="B4" s="7" t="s">
        <v>150</v>
      </c>
      <c r="C4" s="18" t="n">
        <v>1.2</v>
      </c>
      <c r="E4" s="5" t="s">
        <v>149</v>
      </c>
      <c r="F4" s="19" t="n">
        <v>1.1</v>
      </c>
      <c r="G4" s="7" t="s">
        <v>151</v>
      </c>
    </row>
    <row r="5" customFormat="false" ht="15" hidden="false" customHeight="false" outlineLevel="0" collapsed="false">
      <c r="A5" s="5" t="s">
        <v>152</v>
      </c>
      <c r="B5" s="7" t="s">
        <v>153</v>
      </c>
      <c r="C5" s="18" t="n">
        <v>1.1</v>
      </c>
      <c r="E5" s="5" t="s">
        <v>152</v>
      </c>
      <c r="F5" s="19" t="n">
        <v>1.05</v>
      </c>
      <c r="G5" s="7" t="s">
        <v>154</v>
      </c>
    </row>
    <row r="6" customFormat="false" ht="15" hidden="false" customHeight="false" outlineLevel="0" collapsed="false">
      <c r="A6" s="5" t="s">
        <v>155</v>
      </c>
      <c r="B6" s="7" t="s">
        <v>156</v>
      </c>
      <c r="C6" s="18" t="n">
        <v>1</v>
      </c>
      <c r="E6" s="5" t="s">
        <v>155</v>
      </c>
      <c r="F6" s="19" t="n">
        <v>1</v>
      </c>
      <c r="G6" s="7" t="s">
        <v>157</v>
      </c>
    </row>
    <row r="7" customFormat="false" ht="15" hidden="false" customHeight="false" outlineLevel="0" collapsed="false">
      <c r="A7" s="5" t="s">
        <v>158</v>
      </c>
      <c r="B7" s="7" t="s">
        <v>159</v>
      </c>
      <c r="C7" s="18" t="n">
        <v>0.9</v>
      </c>
      <c r="E7" s="5" t="s">
        <v>158</v>
      </c>
      <c r="F7" s="19" t="n">
        <v>0.97</v>
      </c>
      <c r="G7" s="7" t="s">
        <v>160</v>
      </c>
    </row>
    <row r="8" customFormat="false" ht="15" hidden="false" customHeight="false" outlineLevel="0" collapsed="false">
      <c r="A8" s="5" t="s">
        <v>161</v>
      </c>
      <c r="B8" s="7" t="s">
        <v>162</v>
      </c>
      <c r="C8" s="18" t="n">
        <v>0.7</v>
      </c>
      <c r="E8" s="5" t="s">
        <v>161</v>
      </c>
      <c r="F8" s="19" t="n">
        <v>0.95</v>
      </c>
      <c r="G8" s="7" t="s">
        <v>163</v>
      </c>
    </row>
    <row r="11" customFormat="false" ht="15" hidden="false" customHeight="false" outlineLevel="0" collapsed="false">
      <c r="A11" s="17" t="s">
        <v>164</v>
      </c>
      <c r="B11" s="17" t="s">
        <v>165</v>
      </c>
      <c r="C11" s="17" t="s">
        <v>166</v>
      </c>
      <c r="D11" s="17" t="s">
        <v>167</v>
      </c>
      <c r="F11" s="17" t="s">
        <v>168</v>
      </c>
      <c r="G11" s="17" t="s">
        <v>169</v>
      </c>
    </row>
    <row r="12" customFormat="false" ht="15" hidden="false" customHeight="false" outlineLevel="0" collapsed="false">
      <c r="A12" s="6" t="s">
        <v>170</v>
      </c>
      <c r="B12" s="14" t="s">
        <v>155</v>
      </c>
      <c r="C12" s="14" t="s">
        <v>155</v>
      </c>
      <c r="D12" s="7" t="s">
        <v>171</v>
      </c>
      <c r="F12" s="20" t="s">
        <v>149</v>
      </c>
      <c r="G12" s="9" t="s">
        <v>172</v>
      </c>
    </row>
    <row r="13" customFormat="false" ht="15" hidden="false" customHeight="false" outlineLevel="0" collapsed="false">
      <c r="A13" s="6" t="s">
        <v>173</v>
      </c>
      <c r="B13" s="14" t="s">
        <v>152</v>
      </c>
      <c r="C13" s="14" t="s">
        <v>152</v>
      </c>
      <c r="D13" s="7" t="s">
        <v>174</v>
      </c>
      <c r="F13" s="20" t="s">
        <v>152</v>
      </c>
      <c r="G13" s="9" t="s">
        <v>175</v>
      </c>
    </row>
    <row r="14" customFormat="false" ht="15" hidden="false" customHeight="false" outlineLevel="0" collapsed="false">
      <c r="A14" s="6" t="s">
        <v>176</v>
      </c>
      <c r="B14" s="14" t="s">
        <v>152</v>
      </c>
      <c r="C14" s="14" t="s">
        <v>152</v>
      </c>
      <c r="D14" s="7" t="s">
        <v>177</v>
      </c>
      <c r="F14" s="20" t="s">
        <v>155</v>
      </c>
      <c r="G14" s="9" t="s">
        <v>178</v>
      </c>
    </row>
    <row r="15" customFormat="false" ht="15" hidden="false" customHeight="false" outlineLevel="0" collapsed="false">
      <c r="A15" s="6" t="s">
        <v>179</v>
      </c>
      <c r="B15" s="14" t="s">
        <v>152</v>
      </c>
      <c r="C15" s="14" t="s">
        <v>152</v>
      </c>
      <c r="D15" s="7" t="s">
        <v>180</v>
      </c>
      <c r="F15" s="20" t="s">
        <v>158</v>
      </c>
      <c r="G15" s="9" t="s">
        <v>181</v>
      </c>
    </row>
    <row r="16" customFormat="false" ht="15" hidden="false" customHeight="false" outlineLevel="0" collapsed="false">
      <c r="A16" s="6" t="s">
        <v>182</v>
      </c>
      <c r="B16" s="14" t="s">
        <v>149</v>
      </c>
      <c r="C16" s="14" t="s">
        <v>152</v>
      </c>
      <c r="D16" s="9" t="s">
        <v>183</v>
      </c>
      <c r="F16" s="20" t="s">
        <v>161</v>
      </c>
      <c r="G16" s="9" t="s">
        <v>184</v>
      </c>
    </row>
    <row r="18" customFormat="false" ht="15" hidden="false" customHeight="false" outlineLevel="0" collapsed="false">
      <c r="F18" s="21" t="s">
        <v>185</v>
      </c>
      <c r="G18" s="22" t="s">
        <v>186</v>
      </c>
    </row>
    <row r="19" customFormat="false" ht="15" hidden="false" customHeight="false" outlineLevel="0" collapsed="false">
      <c r="F19" s="21" t="s">
        <v>187</v>
      </c>
      <c r="G19" s="22" t="s">
        <v>188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0"/>
  </cols>
  <sheetData>
    <row r="1" customFormat="false" ht="23.85" hidden="false" customHeight="false" outlineLevel="0" collapsed="false">
      <c r="A1" s="1" t="s">
        <v>189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3" t="s">
        <v>190</v>
      </c>
      <c r="B3" s="17" t="s">
        <v>191</v>
      </c>
      <c r="C3" s="17" t="s">
        <v>192</v>
      </c>
      <c r="E3" s="17" t="s">
        <v>57</v>
      </c>
      <c r="F3" s="17" t="s">
        <v>193</v>
      </c>
    </row>
    <row r="4" customFormat="false" ht="15" hidden="false" customHeight="false" outlineLevel="0" collapsed="false">
      <c r="A4" s="2" t="s">
        <v>194</v>
      </c>
      <c r="B4" s="24" t="n">
        <f aca="false">COUNTA(一般社員評価!A5:A54)+COUNTA(管理職評価!A5:A24)</f>
        <v>5</v>
      </c>
      <c r="C4" s="7" t="s">
        <v>195</v>
      </c>
      <c r="E4" s="24" t="s">
        <v>149</v>
      </c>
      <c r="F4" s="24" t="n">
        <f aca="false">COUNTIF(一般社員評価!Q5:Q54,"S")+COUNTIF(管理職評価!M5:M24,"S")</f>
        <v>2</v>
      </c>
    </row>
    <row r="5" customFormat="false" ht="15" hidden="false" customHeight="false" outlineLevel="0" collapsed="false">
      <c r="A5" s="2" t="s">
        <v>196</v>
      </c>
      <c r="B5" s="24" t="n">
        <f aca="false">IF(B4=0,"",ROUND((SUM(一般社員評価!O5:O54)+SUM(管理職評価!J5:J24))/B4,1))</f>
        <v>82.7</v>
      </c>
      <c r="C5" s="7" t="s">
        <v>197</v>
      </c>
      <c r="E5" s="24" t="s">
        <v>152</v>
      </c>
      <c r="F5" s="24" t="n">
        <f aca="false">COUNTIF(一般社員評価!Q5:Q54,"A")+COUNTIF(管理職評価!M5:M24,"A")</f>
        <v>2</v>
      </c>
    </row>
    <row r="6" customFormat="false" ht="15" hidden="false" customHeight="false" outlineLevel="0" collapsed="false">
      <c r="A6" s="2" t="s">
        <v>198</v>
      </c>
      <c r="B6" s="24" t="n">
        <f aca="false">IF(COUNTA(一般社員評価!A5:A54)=0,"",ROUND(AVERAGEIF(一般社員評価!A5:A54,"&lt;&gt;",一般社員評価!N5:N54),1))</f>
        <v>11.5</v>
      </c>
      <c r="C6" s="7" t="s">
        <v>199</v>
      </c>
      <c r="E6" s="24" t="s">
        <v>155</v>
      </c>
      <c r="F6" s="24" t="n">
        <f aca="false">COUNTIF(一般社員評価!Q5:Q54,"B")+COUNTIF(管理職評価!M5:M24,"B")</f>
        <v>0</v>
      </c>
    </row>
    <row r="7" customFormat="false" ht="15" hidden="false" customHeight="false" outlineLevel="0" collapsed="false">
      <c r="A7" s="2" t="s">
        <v>200</v>
      </c>
      <c r="B7" s="24" t="n">
        <f aca="false">IF(COUNTA(管理職評価!A5:A24)=0,"",ROUND(AVERAGEIF(管理職評価!A5:A24,"&lt;&gt;",管理職評価!L5:L24),1))</f>
        <v>30</v>
      </c>
      <c r="C7" s="7" t="s">
        <v>201</v>
      </c>
      <c r="E7" s="24" t="s">
        <v>158</v>
      </c>
      <c r="F7" s="24" t="n">
        <f aca="false">COUNTIF(一般社員評価!Q5:Q54,"C")+COUNTIF(管理職評価!M5:M24,"C")</f>
        <v>1</v>
      </c>
    </row>
    <row r="8" customFormat="false" ht="15" hidden="false" customHeight="false" outlineLevel="0" collapsed="false">
      <c r="A8" s="2" t="s">
        <v>202</v>
      </c>
      <c r="B8" s="24" t="n">
        <f aca="false">COUNTIF(一般社員評価!Q5:Q54,"S")+COUNTIF(一般社員評価!Q5:Q54,"A")+COUNTIF(管理職評価!M5:M24,"S")+COUNTIF(管理職評価!M5:M24,"A")</f>
        <v>4</v>
      </c>
      <c r="C8" s="7" t="s">
        <v>203</v>
      </c>
      <c r="E8" s="24" t="s">
        <v>161</v>
      </c>
      <c r="F8" s="24" t="n">
        <f aca="false">COUNTIF(一般社員評価!Q5:Q54,"D")+COUNTIF(管理職評価!M5:M24,"D")</f>
        <v>0</v>
      </c>
    </row>
    <row r="9" customFormat="false" ht="15" hidden="false" customHeight="false" outlineLevel="0" collapsed="false">
      <c r="A9" s="2" t="s">
        <v>204</v>
      </c>
      <c r="B9" s="24" t="n">
        <f aca="false">COUNTIF(一般社員評価!V5:V54,"昇格候補")+COUNTIF(一般社員評価!V5:V54,"昇格検討可")+COUNTIF(管理職評価!R5:R24,"昇格候補")+COUNTIF(管理職評価!R5:R24,"積極的に昇格候補")</f>
        <v>4</v>
      </c>
      <c r="C9" s="7" t="s">
        <v>205</v>
      </c>
    </row>
    <row r="10" customFormat="false" ht="15" hidden="false" customHeight="false" outlineLevel="0" collapsed="false">
      <c r="A10" s="2" t="s">
        <v>206</v>
      </c>
      <c r="B10" s="24" t="n">
        <f aca="false">COUNTIF(一般社員評価!V5:V54,"要育成")+COUNTIF(管理職評価!R5:R24,"要育成")</f>
        <v>0</v>
      </c>
      <c r="C10" s="7" t="s">
        <v>207</v>
      </c>
    </row>
    <row r="12" customFormat="false" ht="15" hidden="false" customHeight="false" outlineLevel="0" collapsed="false">
      <c r="A12" s="4" t="s">
        <v>208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5" t="s">
        <v>209</v>
      </c>
      <c r="B13" s="25" t="s">
        <v>210</v>
      </c>
      <c r="C13" s="25"/>
    </row>
    <row r="14" customFormat="false" ht="15" hidden="false" customHeight="false" outlineLevel="0" collapsed="false">
      <c r="A14" s="5" t="s">
        <v>211</v>
      </c>
      <c r="B14" s="25" t="s">
        <v>212</v>
      </c>
      <c r="C14" s="25"/>
    </row>
    <row r="15" customFormat="false" ht="15" hidden="false" customHeight="false" outlineLevel="0" collapsed="false">
      <c r="A15" s="5" t="s">
        <v>213</v>
      </c>
      <c r="B15" s="25" t="s">
        <v>214</v>
      </c>
      <c r="C15" s="25"/>
    </row>
    <row r="16" customFormat="false" ht="15" hidden="false" customHeight="false" outlineLevel="0" collapsed="false">
      <c r="A16" s="5" t="s">
        <v>215</v>
      </c>
      <c r="B16" s="25" t="s">
        <v>216</v>
      </c>
      <c r="C16" s="25"/>
    </row>
    <row r="18" customFormat="false" ht="15" hidden="false" customHeight="false" outlineLevel="0" collapsed="false">
      <c r="A18" s="4" t="s">
        <v>217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11" t="s">
        <v>43</v>
      </c>
      <c r="B19" s="11" t="s">
        <v>193</v>
      </c>
      <c r="C19" s="11" t="s">
        <v>218</v>
      </c>
      <c r="D19" s="11" t="s">
        <v>219</v>
      </c>
      <c r="E19" s="11" t="s">
        <v>220</v>
      </c>
      <c r="F19" s="11" t="s">
        <v>221</v>
      </c>
      <c r="G19" s="11" t="s">
        <v>222</v>
      </c>
      <c r="H19" s="11" t="s">
        <v>223</v>
      </c>
    </row>
    <row r="20" customFormat="false" ht="15" hidden="false" customHeight="false" outlineLevel="0" collapsed="false">
      <c r="A20" s="26" t="s">
        <v>224</v>
      </c>
      <c r="B20" s="24" t="n">
        <f aca="false">COUNTIF(一般社員評価!C5:C54,A20)+COUNTIF(管理職評価!C5:C24,A20)</f>
        <v>1</v>
      </c>
      <c r="C20" s="27" t="n">
        <f aca="false">IFERROR(AVERAGEIFS(一般社員評価!N5:N54,一般社員評価!C5:C54,A20),IFERROR(AVERAGEIFS(管理職評価!L5:L24,管理職評価!C5:C24,A20),"-"))</f>
        <v>13</v>
      </c>
      <c r="D20" s="27" t="n">
        <f aca="false">IFERROR(AVERAGEIFS(一般社員評価!O5:O54,一般社員評価!C5:C54,A20),IFERROR(AVERAGEIFS(管理職評価!J5:J24,管理職評価!C5:C24,A20),"-"))</f>
        <v>83</v>
      </c>
      <c r="E20" s="27" t="n">
        <f aca="false">IFERROR(AVERAGEIFS(一般社員評価!L5:L54,一般社員評価!C5:C54,A20),"-")</f>
        <v>2</v>
      </c>
      <c r="F20" s="24" t="n">
        <f aca="false">COUNTIFS(一般社員評価!C5:C54,A20,一般社員評価!V5:V54,"昇格候補")+COUNTIFS(一般社員評価!C5:C54,A20,一般社員評価!V5:V54,"昇格検討可")+COUNTIFS(管理職評価!C5:C24,A20,管理職評価!R5:R24,"昇格候補")+COUNTIFS(管理職評価!C5:C24,A20,管理職評価!R5:R24,"積極的に昇格候補")</f>
        <v>1</v>
      </c>
      <c r="G20" s="24" t="n">
        <f aca="false">COUNTIFS(一般社員評価!C5:C54,A20,一般社員評価!V5:V54,"要育成")+COUNTIFS(管理職評価!C5:C24,A20,管理職評価!R5:R24,"要育成")</f>
        <v>0</v>
      </c>
      <c r="H20" s="24" t="str">
        <f aca="false">IF(B20=0,"-",IF(C20&gt;=12,"横展開推進",IF(C20&gt;=9.75,"標準運用",IF(C20&gt;=7.5,"改善計画策定","重点指導対象"))))</f>
        <v>横展開推進</v>
      </c>
    </row>
    <row r="21" customFormat="false" ht="15" hidden="false" customHeight="false" outlineLevel="0" collapsed="false">
      <c r="A21" s="6" t="s">
        <v>225</v>
      </c>
      <c r="B21" s="14" t="n">
        <f aca="false">COUNTIF(一般社員評価!C5:C54,A21)+COUNTIF(管理職評価!C5:C24,A21)</f>
        <v>0</v>
      </c>
      <c r="C21" s="28" t="str">
        <f aca="false">IFERROR(AVERAGEIFS(一般社員評価!N5:N54,一般社員評価!C5:C54,A21),IFERROR(AVERAGEIFS(管理職評価!L5:L24,管理職評価!C5:C24,A21),"-"))</f>
        <v>-</v>
      </c>
      <c r="D21" s="28" t="str">
        <f aca="false">IFERROR(AVERAGEIFS(一般社員評価!O5:O54,一般社員評価!C5:C54,A21),IFERROR(AVERAGEIFS(管理職評価!J5:J24,管理職評価!C5:C24,A21),"-"))</f>
        <v>-</v>
      </c>
      <c r="E21" s="28" t="str">
        <f aca="false">IFERROR(AVERAGEIFS(一般社員評価!L5:L54,一般社員評価!C5:C54,A21),"-")</f>
        <v>-</v>
      </c>
      <c r="F21" s="14" t="n">
        <f aca="false">COUNTIFS(一般社員評価!C5:C54,A21,一般社員評価!V5:V54,"昇格候補")+COUNTIFS(一般社員評価!C5:C54,A21,一般社員評価!V5:V54,"昇格検討可")+COUNTIFS(管理職評価!C5:C24,A21,管理職評価!R5:R24,"昇格候補")+COUNTIFS(管理職評価!C5:C24,A21,管理職評価!R5:R24,"積極的に昇格候補")</f>
        <v>0</v>
      </c>
      <c r="G21" s="14" t="n">
        <f aca="false">COUNTIFS(一般社員評価!C5:C54,A21,一般社員評価!V5:V54,"要育成")+COUNTIFS(管理職評価!C5:C24,A21,管理職評価!R5:R24,"要育成")</f>
        <v>0</v>
      </c>
      <c r="H21" s="14" t="str">
        <f aca="false">IF(B21=0,"-",IF(C21&gt;=12,"横展開推進",IF(C21&gt;=9.75,"標準運用",IF(C21&gt;=7.5,"改善計画策定","重点指導対象"))))</f>
        <v>-</v>
      </c>
    </row>
    <row r="22" customFormat="false" ht="15" hidden="false" customHeight="false" outlineLevel="0" collapsed="false">
      <c r="A22" s="26" t="s">
        <v>87</v>
      </c>
      <c r="B22" s="24" t="n">
        <f aca="false">COUNTIF(一般社員評価!C5:C54,A22)+COUNTIF(管理職評価!C5:C24,A22)</f>
        <v>1</v>
      </c>
      <c r="C22" s="27" t="n">
        <f aca="false">IFERROR(AVERAGEIFS(一般社員評価!N5:N54,一般社員評価!C5:C54,A22),IFERROR(AVERAGEIFS(管理職評価!L5:L24,管理職評価!C5:C24,A22),"-"))</f>
        <v>28</v>
      </c>
      <c r="D22" s="27" t="n">
        <f aca="false">IFERROR(AVERAGEIFS(一般社員評価!O5:O54,一般社員評価!C5:C54,A22),IFERROR(AVERAGEIFS(管理職評価!J5:J24,管理職評価!C5:C24,A22),"-"))</f>
        <v>82</v>
      </c>
      <c r="E22" s="27" t="str">
        <f aca="false">IFERROR(AVERAGEIFS(一般社員評価!L5:L54,一般社員評価!C5:C54,A22),"-")</f>
        <v>-</v>
      </c>
      <c r="F22" s="24" t="n">
        <f aca="false">COUNTIFS(一般社員評価!C5:C54,A22,一般社員評価!V5:V54,"昇格候補")+COUNTIFS(一般社員評価!C5:C54,A22,一般社員評価!V5:V54,"昇格検討可")+COUNTIFS(管理職評価!C5:C24,A22,管理職評価!R5:R24,"昇格候補")+COUNTIFS(管理職評価!C5:C24,A22,管理職評価!R5:R24,"積極的に昇格候補")</f>
        <v>1</v>
      </c>
      <c r="G22" s="24" t="n">
        <f aca="false">COUNTIFS(一般社員評価!C5:C54,A22,一般社員評価!V5:V54,"要育成")+COUNTIFS(管理職評価!C5:C24,A22,管理職評価!R5:R24,"要育成")</f>
        <v>0</v>
      </c>
      <c r="H22" s="24" t="str">
        <f aca="false">IF(B22=0,"-",IF(C22&gt;=12,"横展開推進",IF(C22&gt;=9.75,"標準運用",IF(C22&gt;=7.5,"改善計画策定","重点指導対象"))))</f>
        <v>横展開推進</v>
      </c>
    </row>
    <row r="23" customFormat="false" ht="15" hidden="false" customHeight="false" outlineLevel="0" collapsed="false">
      <c r="A23" s="6" t="s">
        <v>71</v>
      </c>
      <c r="B23" s="14" t="n">
        <f aca="false">COUNTIF(一般社員評価!C5:C54,A23)+COUNTIF(管理職評価!C5:C24,A23)</f>
        <v>2</v>
      </c>
      <c r="C23" s="28" t="n">
        <f aca="false">IFERROR(AVERAGEIFS(一般社員評価!N5:N54,一般社員評価!C5:C54,A23),IFERROR(AVERAGEIFS(管理職評価!L5:L24,管理職評価!C5:C24,A23),"-"))</f>
        <v>14</v>
      </c>
      <c r="D23" s="28" t="n">
        <f aca="false">IFERROR(AVERAGEIFS(一般社員評価!O5:O54,一般社員評価!C5:C54,A23),IFERROR(AVERAGEIFS(管理職評価!J5:J24,管理職評価!C5:C24,A23),"-"))</f>
        <v>91</v>
      </c>
      <c r="E23" s="28" t="n">
        <f aca="false">IFERROR(AVERAGEIFS(一般社員評価!L5:L54,一般社員評価!C5:C54,A23),"-")</f>
        <v>3</v>
      </c>
      <c r="F23" s="14" t="n">
        <f aca="false">COUNTIFS(一般社員評価!C5:C54,A23,一般社員評価!V5:V54,"昇格候補")+COUNTIFS(一般社員評価!C5:C54,A23,一般社員評価!V5:V54,"昇格検討可")+COUNTIFS(管理職評価!C5:C24,A23,管理職評価!R5:R24,"昇格候補")+COUNTIFS(管理職評価!C5:C24,A23,管理職評価!R5:R24,"積極的に昇格候補")</f>
        <v>2</v>
      </c>
      <c r="G23" s="14" t="n">
        <f aca="false">COUNTIFS(一般社員評価!C5:C54,A23,一般社員評価!V5:V54,"要育成")+COUNTIFS(管理職評価!C5:C24,A23,管理職評価!R5:R24,"要育成")</f>
        <v>0</v>
      </c>
      <c r="H23" s="14" t="str">
        <f aca="false">IF(B23=0,"-",IF(C23&gt;=12,"横展開推進",IF(C23&gt;=9.75,"標準運用",IF(C23&gt;=7.5,"改善計画策定","重点指導対象"))))</f>
        <v>横展開推進</v>
      </c>
    </row>
    <row r="24" customFormat="false" ht="15" hidden="false" customHeight="false" outlineLevel="0" collapsed="false">
      <c r="A24" s="26" t="s">
        <v>75</v>
      </c>
      <c r="B24" s="24" t="n">
        <f aca="false">COUNTIF(一般社員評価!C5:C54,A24)+COUNTIF(管理職評価!C5:C24,A24)</f>
        <v>1</v>
      </c>
      <c r="C24" s="27" t="n">
        <f aca="false">IFERROR(AVERAGEIFS(一般社員評価!N5:N54,一般社員評価!C5:C54,A24),IFERROR(AVERAGEIFS(管理職評価!L5:L24,管理職評価!C5:C24,A24),"-"))</f>
        <v>7.5</v>
      </c>
      <c r="D24" s="27" t="n">
        <f aca="false">IFERROR(AVERAGEIFS(一般社員評価!O5:O54,一般社員評価!C5:C54,A24),IFERROR(AVERAGEIFS(管理職評価!J5:J24,管理職評価!C5:C24,A24),"-"))</f>
        <v>67.5</v>
      </c>
      <c r="E24" s="27" t="n">
        <f aca="false">IFERROR(AVERAGEIFS(一般社員評価!L5:L54,一般社員評価!C5:C54,A24),"-")</f>
        <v>1</v>
      </c>
      <c r="F24" s="24" t="n">
        <f aca="false">COUNTIFS(一般社員評価!C5:C54,A24,一般社員評価!V5:V54,"昇格候補")+COUNTIFS(一般社員評価!C5:C54,A24,一般社員評価!V5:V54,"昇格検討可")+COUNTIFS(管理職評価!C5:C24,A24,管理職評価!R5:R24,"昇格候補")+COUNTIFS(管理職評価!C5:C24,A24,管理職評価!R5:R24,"積極的に昇格候補")</f>
        <v>0</v>
      </c>
      <c r="G24" s="24" t="n">
        <f aca="false">COUNTIFS(一般社員評価!C5:C54,A24,一般社員評価!V5:V54,"要育成")+COUNTIFS(管理職評価!C5:C24,A24,管理職評価!R5:R24,"要育成")</f>
        <v>0</v>
      </c>
      <c r="H24" s="24" t="str">
        <f aca="false">IF(B24=0,"-",IF(C24&gt;=12,"横展開推進",IF(C24&gt;=9.75,"標準運用",IF(C24&gt;=7.5,"改善計画策定","重点指導対象"))))</f>
        <v>改善計画策定</v>
      </c>
    </row>
    <row r="25" customFormat="false" ht="15" hidden="false" customHeight="false" outlineLevel="0" collapsed="false">
      <c r="A25" s="6" t="s">
        <v>226</v>
      </c>
      <c r="B25" s="14" t="n">
        <f aca="false">COUNTIF(一般社員評価!C5:C54,A25)+COUNTIF(管理職評価!C5:C24,A25)</f>
        <v>0</v>
      </c>
      <c r="C25" s="28" t="str">
        <f aca="false">IFERROR(AVERAGEIFS(一般社員評価!N5:N54,一般社員評価!C5:C54,A25),IFERROR(AVERAGEIFS(管理職評価!L5:L24,管理職評価!C5:C24,A25),"-"))</f>
        <v>-</v>
      </c>
      <c r="D25" s="28" t="str">
        <f aca="false">IFERROR(AVERAGEIFS(一般社員評価!O5:O54,一般社員評価!C5:C54,A25),IFERROR(AVERAGEIFS(管理職評価!J5:J24,管理職評価!C5:C24,A25),"-"))</f>
        <v>-</v>
      </c>
      <c r="E25" s="28" t="str">
        <f aca="false">IFERROR(AVERAGEIFS(一般社員評価!L5:L54,一般社員評価!C5:C54,A25),"-")</f>
        <v>-</v>
      </c>
      <c r="F25" s="14" t="n">
        <f aca="false">COUNTIFS(一般社員評価!C5:C54,A25,一般社員評価!V5:V54,"昇格候補")+COUNTIFS(一般社員評価!C5:C54,A25,一般社員評価!V5:V54,"昇格検討可")+COUNTIFS(管理職評価!C5:C24,A25,管理職評価!R5:R24,"昇格候補")+COUNTIFS(管理職評価!C5:C24,A25,管理職評価!R5:R24,"積極的に昇格候補")</f>
        <v>0</v>
      </c>
      <c r="G25" s="14" t="n">
        <f aca="false">COUNTIFS(一般社員評価!C5:C54,A25,一般社員評価!V5:V54,"要育成")+COUNTIFS(管理職評価!C5:C24,A25,管理職評価!R5:R24,"要育成")</f>
        <v>0</v>
      </c>
      <c r="H25" s="14" t="str">
        <f aca="false">IF(B25=0,"-",IF(C25&gt;=12,"横展開推進",IF(C25&gt;=9.75,"標準運用",IF(C25&gt;=7.5,"改善計画策定","重点指導対象"))))</f>
        <v>-</v>
      </c>
    </row>
    <row r="26" customFormat="false" ht="15" hidden="false" customHeight="false" outlineLevel="0" collapsed="false">
      <c r="A26" s="26" t="s">
        <v>227</v>
      </c>
      <c r="B26" s="24" t="n">
        <f aca="false">COUNTIF(一般社員評価!C5:C54,A26)+COUNTIF(管理職評価!C5:C24,A26)</f>
        <v>0</v>
      </c>
      <c r="C26" s="27" t="str">
        <f aca="false">IFERROR(AVERAGEIFS(一般社員評価!N5:N54,一般社員評価!C5:C54,A26),IFERROR(AVERAGEIFS(管理職評価!L5:L24,管理職評価!C5:C24,A26),"-"))</f>
        <v>-</v>
      </c>
      <c r="D26" s="27" t="str">
        <f aca="false">IFERROR(AVERAGEIFS(一般社員評価!O5:O54,一般社員評価!C5:C54,A26),IFERROR(AVERAGEIFS(管理職評価!J5:J24,管理職評価!C5:C24,A26),"-"))</f>
        <v>-</v>
      </c>
      <c r="E26" s="27" t="str">
        <f aca="false">IFERROR(AVERAGEIFS(一般社員評価!L5:L54,一般社員評価!C5:C54,A26),"-")</f>
        <v>-</v>
      </c>
      <c r="F26" s="24" t="n">
        <f aca="false">COUNTIFS(一般社員評価!C5:C54,A26,一般社員評価!V5:V54,"昇格候補")+COUNTIFS(一般社員評価!C5:C54,A26,一般社員評価!V5:V54,"昇格検討可")+COUNTIFS(管理職評価!C5:C24,A26,管理職評価!R5:R24,"昇格候補")+COUNTIFS(管理職評価!C5:C24,A26,管理職評価!R5:R24,"積極的に昇格候補")</f>
        <v>0</v>
      </c>
      <c r="G26" s="24" t="n">
        <f aca="false">COUNTIFS(一般社員評価!C5:C54,A26,一般社員評価!V5:V54,"要育成")+COUNTIFS(管理職評価!C5:C24,A26,管理職評価!R5:R24,"要育成")</f>
        <v>0</v>
      </c>
      <c r="H26" s="24" t="str">
        <f aca="false">IF(B26=0,"-",IF(C26&gt;=12,"横展開推進",IF(C26&gt;=9.75,"標準運用",IF(C26&gt;=7.5,"改善計画策定","重点指導対象"))))</f>
        <v>-</v>
      </c>
    </row>
    <row r="27" customFormat="false" ht="15" hidden="false" customHeight="false" outlineLevel="0" collapsed="false">
      <c r="A27" s="6" t="s">
        <v>228</v>
      </c>
      <c r="B27" s="14" t="n">
        <f aca="false">COUNTIF(一般社員評価!C5:C54,A27)+COUNTIF(管理職評価!C5:C24,A27)</f>
        <v>0</v>
      </c>
      <c r="C27" s="28" t="str">
        <f aca="false">IFERROR(AVERAGEIFS(一般社員評価!N5:N54,一般社員評価!C5:C54,A27),IFERROR(AVERAGEIFS(管理職評価!L5:L24,管理職評価!C5:C24,A27),"-"))</f>
        <v>-</v>
      </c>
      <c r="D27" s="28" t="str">
        <f aca="false">IFERROR(AVERAGEIFS(一般社員評価!O5:O54,一般社員評価!C5:C54,A27),IFERROR(AVERAGEIFS(管理職評価!J5:J24,管理職評価!C5:C24,A27),"-"))</f>
        <v>-</v>
      </c>
      <c r="E27" s="28" t="str">
        <f aca="false">IFERROR(AVERAGEIFS(一般社員評価!L5:L54,一般社員評価!C5:C54,A27),"-")</f>
        <v>-</v>
      </c>
      <c r="F27" s="14" t="n">
        <f aca="false">COUNTIFS(一般社員評価!C5:C54,A27,一般社員評価!V5:V54,"昇格候補")+COUNTIFS(一般社員評価!C5:C54,A27,一般社員評価!V5:V54,"昇格検討可")+COUNTIFS(管理職評価!C5:C24,A27,管理職評価!R5:R24,"昇格候補")+COUNTIFS(管理職評価!C5:C24,A27,管理職評価!R5:R24,"積極的に昇格候補")</f>
        <v>0</v>
      </c>
      <c r="G27" s="14" t="n">
        <f aca="false">COUNTIFS(一般社員評価!C5:C54,A27,一般社員評価!V5:V54,"要育成")+COUNTIFS(管理職評価!C5:C24,A27,管理職評価!R5:R24,"要育成")</f>
        <v>0</v>
      </c>
      <c r="H27" s="14" t="str">
        <f aca="false">IF(B27=0,"-",IF(C27&gt;=12,"横展開推進",IF(C27&gt;=9.75,"標準運用",IF(C27&gt;=7.5,"改善計画策定","重点指導対象"))))</f>
        <v>-</v>
      </c>
    </row>
  </sheetData>
  <mergeCells count="7">
    <mergeCell ref="A1:H1"/>
    <mergeCell ref="A12:H12"/>
    <mergeCell ref="B13:C13"/>
    <mergeCell ref="B14:C14"/>
    <mergeCell ref="B15:C15"/>
    <mergeCell ref="B16:C16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229</v>
      </c>
      <c r="B1" s="1"/>
      <c r="C1" s="1"/>
      <c r="D1" s="1"/>
    </row>
    <row r="3" customFormat="false" ht="15" hidden="false" customHeight="false" outlineLevel="0" collapsed="false">
      <c r="A3" s="17" t="s">
        <v>93</v>
      </c>
      <c r="B3" s="17" t="s">
        <v>230</v>
      </c>
      <c r="C3" s="17" t="s">
        <v>231</v>
      </c>
      <c r="D3" s="17" t="s">
        <v>232</v>
      </c>
    </row>
    <row r="4" customFormat="false" ht="44" hidden="false" customHeight="false" outlineLevel="0" collapsed="false">
      <c r="A4" s="6" t="s">
        <v>233</v>
      </c>
      <c r="B4" s="16" t="s">
        <v>234</v>
      </c>
      <c r="C4" s="7" t="s">
        <v>235</v>
      </c>
      <c r="D4" s="7" t="s">
        <v>236</v>
      </c>
    </row>
    <row r="5" customFormat="false" ht="44" hidden="false" customHeight="false" outlineLevel="0" collapsed="false">
      <c r="A5" s="6" t="s">
        <v>237</v>
      </c>
      <c r="B5" s="16" t="s">
        <v>238</v>
      </c>
      <c r="C5" s="7" t="s">
        <v>235</v>
      </c>
      <c r="D5" s="7" t="s">
        <v>239</v>
      </c>
    </row>
    <row r="6" customFormat="false" ht="29.85" hidden="false" customHeight="false" outlineLevel="0" collapsed="false">
      <c r="A6" s="6" t="s">
        <v>240</v>
      </c>
      <c r="B6" s="16" t="s">
        <v>241</v>
      </c>
      <c r="C6" s="7" t="s">
        <v>242</v>
      </c>
      <c r="D6" s="7" t="s">
        <v>243</v>
      </c>
    </row>
    <row r="7" customFormat="false" ht="29.85" hidden="false" customHeight="false" outlineLevel="0" collapsed="false">
      <c r="A7" s="6" t="s">
        <v>244</v>
      </c>
      <c r="B7" s="16" t="s">
        <v>245</v>
      </c>
      <c r="C7" s="7" t="s">
        <v>246</v>
      </c>
      <c r="D7" s="7" t="s">
        <v>247</v>
      </c>
    </row>
    <row r="8" customFormat="false" ht="29.85" hidden="false" customHeight="false" outlineLevel="0" collapsed="false">
      <c r="A8" s="6" t="s">
        <v>248</v>
      </c>
      <c r="B8" s="16" t="s">
        <v>249</v>
      </c>
      <c r="C8" s="7" t="s">
        <v>250</v>
      </c>
      <c r="D8" s="7" t="s">
        <v>251</v>
      </c>
    </row>
    <row r="10" customFormat="false" ht="15" hidden="false" customHeight="false" outlineLevel="0" collapsed="false">
      <c r="A10" s="17" t="s">
        <v>252</v>
      </c>
      <c r="B10" s="17" t="s">
        <v>253</v>
      </c>
      <c r="C10" s="17" t="s">
        <v>254</v>
      </c>
      <c r="D10" s="17" t="s">
        <v>232</v>
      </c>
    </row>
    <row r="11" customFormat="false" ht="15" hidden="false" customHeight="false" outlineLevel="0" collapsed="false">
      <c r="A11" s="6" t="s">
        <v>255</v>
      </c>
      <c r="B11" s="9" t="s">
        <v>256</v>
      </c>
      <c r="C11" s="7" t="s">
        <v>257</v>
      </c>
      <c r="D11" s="7" t="s">
        <v>258</v>
      </c>
    </row>
    <row r="12" customFormat="false" ht="15" hidden="false" customHeight="false" outlineLevel="0" collapsed="false">
      <c r="A12" s="6" t="s">
        <v>259</v>
      </c>
      <c r="B12" s="7" t="s">
        <v>260</v>
      </c>
      <c r="C12" s="7" t="s">
        <v>261</v>
      </c>
      <c r="D12" s="7" t="s">
        <v>262</v>
      </c>
    </row>
    <row r="13" customFormat="false" ht="15" hidden="false" customHeight="false" outlineLevel="0" collapsed="false">
      <c r="A13" s="6" t="s">
        <v>263</v>
      </c>
      <c r="B13" s="9" t="s">
        <v>264</v>
      </c>
      <c r="C13" s="7" t="s">
        <v>265</v>
      </c>
      <c r="D13" s="7" t="s">
        <v>266</v>
      </c>
    </row>
    <row r="14" customFormat="false" ht="15" hidden="false" customHeight="false" outlineLevel="0" collapsed="false">
      <c r="A14" s="6" t="s">
        <v>267</v>
      </c>
      <c r="B14" s="7" t="s">
        <v>268</v>
      </c>
      <c r="C14" s="7" t="s">
        <v>269</v>
      </c>
      <c r="D14" s="7" t="s">
        <v>270</v>
      </c>
    </row>
    <row r="15" customFormat="false" ht="15" hidden="false" customHeight="false" outlineLevel="0" collapsed="false">
      <c r="A15" s="5" t="s">
        <v>271</v>
      </c>
      <c r="B15" s="9" t="s">
        <v>272</v>
      </c>
      <c r="C15" s="9" t="s">
        <v>273</v>
      </c>
      <c r="D15" s="7" t="s">
        <v>274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2026-05-05T02:00:17Z</dcterms:created>
  <dc:creator>openpyxl</dc:creator>
  <dc:description/>
  <dc:language>en-US</dc:language>
  <cp:lastModifiedBy/>
  <dcterms:modified xsi:type="dcterms:W3CDTF">2026-05-05T02:00:17Z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